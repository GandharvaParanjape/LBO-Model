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Assumptions" sheetId="2" state="visible" r:id="rId4"/>
    <sheet name="Transaction" sheetId="3" state="visible" r:id="rId5"/>
    <sheet name="LBO Model" sheetId="4" state="visible" r:id="rId6"/>
    <sheet name="Retur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<sst xmlns="http://schemas.openxmlformats.org/spreadsheetml/2006/main" count="192" uniqueCount="174">
  <si>
    <t xml:space="preserve">GULF OIL LUBRICANTS INDIA (NSE: GULFOILLUB) — LEVERAGED BUYOUT ANALYSIS</t>
  </si>
  <si>
    <t xml:space="preserve">Hypothetical take-private by a financial sponsor  |  Market data 22-Sep-2026; financials through Q1 FY2027 (June 2026)  |  Rs crore</t>
  </si>
  <si>
    <t xml:space="preserve">Why Gulf Oil Lubricants as an LBO candidate</t>
  </si>
  <si>
    <t xml:space="preserve">Hinduja-group lubricant marketer with sticky B2C, OEM and industrial demand, ~12-13% EBITDA margins, capex of only ~1.3% of revenue, a negative working-capital cycle, a net-cash balance sheet (Rs ~1,150 cr cash vs Rs ~514 cr borrowings) and a 5% dividend yield - the kind of cash-generative, asset-light business sponsors like. The promoter (Gulf Oil International (Mauritius)) holds 67%, so a buyout is conceivable. The catch, which this model tests, is price: the listed valuation is already ~10-12x EBITDA, and Indian acquisition debt is scarce and expensive.</t>
  </si>
  <si>
    <t xml:space="preserve">How to read this workbook</t>
  </si>
  <si>
    <t xml:space="preserve">Assumptions - all inputs in one place, including a 3-way operating scenario switch (Downside / Base / Upside) in cell B40.</t>
  </si>
  <si>
    <t xml:space="preserve">LBO Model - projections, free cash flow, senior loan + NCD schedule with cash sweep, and credit statistics.</t>
  </si>
  <si>
    <t xml:space="preserve">Transaction - sources &amp; uses (including use of existing balance-sheet cash) and headline deal metrics.</t>
  </si>
  <si>
    <t xml:space="preserve">Returns - exit waterfall, IRR / MOIC by exit year, two sensitivity tables, and an ability-to-pay analysis at the hurdle IRR.</t>
  </si>
  <si>
    <t xml:space="preserve">Indian structuring &amp; regulatory points (discussed, NOT modelled)</t>
  </si>
  <si>
    <t xml:space="preserve">1) RBI rules restrict banks from lending against shares for acquisitions, so acquisition debt would have to come from NBFCs, AIFs/private credit, NCDs or foreign lenders (ECB rules) - hence the modest 3.5x leverage and 10.5-12.5% rates.  2) Section 67 of the Companies Act restricts a target financing the purchase of its own shares, so the usual route is an acquisition SPV that later merges with the target (needs NCLT approval); the 'use of existing cash' source here is therefore a simplification.  3) A 100% take-private of a listed company needs SEBI open-offer and delisting (reverse book-building) compliance and promoter cooperation - the 30% premium is only a placeholder for the discovered price.</t>
  </si>
  <si>
    <t xml:space="preserve">Headline outputs (live - update with the scenario switch)</t>
  </si>
  <si>
    <t xml:space="preserve">Scenario</t>
  </si>
  <si>
    <t xml:space="preserve">Offer price per share (Rs)</t>
  </si>
  <si>
    <t xml:space="preserve">Enterprise value (Rs crore)</t>
  </si>
  <si>
    <t xml:space="preserve">EV / FY2027E Adj. EBITDA</t>
  </si>
  <si>
    <t xml:space="preserve">Total leverage at close</t>
  </si>
  <si>
    <t xml:space="preserve">Sponsor equity cheque (Rs crore)</t>
  </si>
  <si>
    <t xml:space="preserve">Sponsor equity % of total sources</t>
  </si>
  <si>
    <t xml:space="preserve">5-year MOIC</t>
  </si>
  <si>
    <t xml:space="preserve">5-year IRR (INR)</t>
  </si>
  <si>
    <t xml:space="preserve">Maximum offer price for hurdle IRR (Rs per share)</t>
  </si>
  <si>
    <t xml:space="preserve">Total debt / EBITDA at exit (FY2032E)</t>
  </si>
  <si>
    <t xml:space="preserve">Disclaimer: academic / portfolio exercise. No transaction involving Gulf Oil Lubricants India has been announced; the premium, financing terms and projections are the author's hypothetical assumptions built on public information, not investment advice.</t>
  </si>
  <si>
    <t xml:space="preserve">GULF OIL LUBRICANTS INDIA (NSE: GULFOILLUB) — LBO ASSUMPTIONS</t>
  </si>
  <si>
    <t xml:space="preserve">Rs crore unless stated  |  Hypothetical take-private by a financial sponsor  |  Blue = input, black = formula, green = cross-sheet link</t>
  </si>
  <si>
    <t xml:space="preserve">Transaction</t>
  </si>
  <si>
    <t xml:space="preserve">Current share price (Rs) — NSE close 22-Sep-2026</t>
  </si>
  <si>
    <t xml:space="preserve">Offer premium to current price</t>
  </si>
  <si>
    <t xml:space="preserve">Shares outstanding (crore)</t>
  </si>
  <si>
    <t xml:space="preserve">Equity purchase price (100% of shares)</t>
  </si>
  <si>
    <t xml:space="preserve">(+) Existing borrowings refinanced (Mar-2026)</t>
  </si>
  <si>
    <t xml:space="preserve">(-) Existing cash &amp; short-term investments (Mar-2026)</t>
  </si>
  <si>
    <t xml:space="preserve">Enterprise value (EV)</t>
  </si>
  <si>
    <t xml:space="preserve">FY2026A consolidated Adj. EBITDA (reported)</t>
  </si>
  <si>
    <t xml:space="preserve">FY2027E Adj. EBITDA (entry basis)</t>
  </si>
  <si>
    <t xml:space="preserve">EV / FY2026A EBITDA</t>
  </si>
  <si>
    <t xml:space="preserve">EV / FY2027E EBITDA</t>
  </si>
  <si>
    <t xml:space="preserve">Entry-year (FY2027E) estimates — common to all scenarios</t>
  </si>
  <si>
    <t xml:space="preserve">FY2027E revenue growth</t>
  </si>
  <si>
    <t xml:space="preserve">FY2027E Adj. EBITDA margin</t>
  </si>
  <si>
    <t xml:space="preserve">Financing</t>
  </si>
  <si>
    <t xml:space="preserve">Senior secured term loan (x FY2027E EBITDA)</t>
  </si>
  <si>
    <t xml:space="preserve">Subordinated NCDs (x FY2027E EBITDA)</t>
  </si>
  <si>
    <t xml:space="preserve">Senior term loan amount</t>
  </si>
  <si>
    <t xml:space="preserve">NCD amount</t>
  </si>
  <si>
    <t xml:space="preserve">Total new debt</t>
  </si>
  <si>
    <t xml:space="preserve">Total leverage at close (x FY2027E EBITDA)</t>
  </si>
  <si>
    <t xml:space="preserve">Senior term loan interest rate</t>
  </si>
  <si>
    <t xml:space="preserve">NCD interest rate</t>
  </si>
  <si>
    <t xml:space="preserve">Senior loan mandatory amortisation (% of original, p.a.)</t>
  </si>
  <si>
    <t xml:space="preserve">Cash sweep (% of excess cash used to prepay senior loan)</t>
  </si>
  <si>
    <t xml:space="preserve">Financing fees (% of new debt)</t>
  </si>
  <si>
    <t xml:space="preserve">Advisory, stamp duty &amp; other costs (% of EV)</t>
  </si>
  <si>
    <t xml:space="preserve">Minimum cash retained in the business</t>
  </si>
  <si>
    <t xml:space="preserve">Existing cash used as a source of funds</t>
  </si>
  <si>
    <t xml:space="preserve">Cash tax rate (new regime, incl. surcharge &amp; cess)</t>
  </si>
  <si>
    <t xml:space="preserve">Operating scenario (FY2028E-FY2032E)</t>
  </si>
  <si>
    <t xml:space="preserve">Scenario selector (1 = Downside, 2 = Base, 3 = Upside)</t>
  </si>
  <si>
    <t xml:space="preserve">Live scenario</t>
  </si>
  <si>
    <t xml:space="preserve">FY2028E</t>
  </si>
  <si>
    <t xml:space="preserve">FY2029E</t>
  </si>
  <si>
    <t xml:space="preserve">FY2030E</t>
  </si>
  <si>
    <t xml:space="preserve">FY2031E</t>
  </si>
  <si>
    <t xml:space="preserve">FY2032E</t>
  </si>
  <si>
    <t xml:space="preserve">Revenue growth - Downside</t>
  </si>
  <si>
    <t xml:space="preserve">Revenue growth - Base</t>
  </si>
  <si>
    <t xml:space="preserve">Revenue growth - Upside</t>
  </si>
  <si>
    <t xml:space="preserve">Live revenue growth</t>
  </si>
  <si>
    <t xml:space="preserve">Adj. EBITDA margin - Downside</t>
  </si>
  <si>
    <t xml:space="preserve">Adj. EBITDA margin - Base</t>
  </si>
  <si>
    <t xml:space="preserve">Adj. EBITDA margin - Upside</t>
  </si>
  <si>
    <t xml:space="preserve">Live Adj. EBITDA margin</t>
  </si>
  <si>
    <t xml:space="preserve">D&amp;A (% of revenue)</t>
  </si>
  <si>
    <t xml:space="preserve">Capex (% of revenue)</t>
  </si>
  <si>
    <t xml:space="preserve">Net working capital investment (% of revenue change)</t>
  </si>
  <si>
    <t xml:space="preserve">Integration &amp; other one-off cash costs (Rs crore)</t>
  </si>
  <si>
    <t xml:space="preserve">Lease payments under Ind AS 116 (% of revenue)</t>
  </si>
  <si>
    <t xml:space="preserve">Exit</t>
  </si>
  <si>
    <t xml:space="preserve">Exit multiple (x Adj. EBITDA)</t>
  </si>
  <si>
    <t xml:space="preserve">Sponsor target IRR (INR hurdle)</t>
  </si>
  <si>
    <t xml:space="preserve">Sources: Gulf Oil Lubricants India Q4/FY26 press release (27-May-2026: consolidated FY26 revenue Rs 4,056.04 cr, Adj. EBITDA Rs 513.89 cr, PAT Rs 344.85 cr), Q1 FY27 press release (3-Aug-2026: standalone revenue Rs 1,320.4 cr, +32.5% YoY; PAT Rs 127.5 cr), S&amp;P Global data via StockAnalysis.com (balance sheet at 31-Mar-2026: cash &amp; ST investments Rs 1,152.5 cr, short-term debt Rs 489.9 cr, long-term debt Rs 24.5 cr; share price Rs 1,052.50 on 22-Sep-2026; 4.94 crore shares), shareholding pattern Mar-2026 (Gulf Oil International (Mauritius) Inc. 67.01%).</t>
  </si>
  <si>
    <t xml:space="preserve">Judgement calls (mine): 30% premium; only 3.5x leverage (Indian acquisition finance is scarce and pricier than US leveraged loans); 10.5% / 12.5% interest rates; 10.0x exit multiple (below the ~10.6x entry multiple); FY2027E growth of +15% / 12.6% margin (Q1 FY27 was far stronger, but was boosted by pricing during the West Asia supply disruption); scenario paths for FY2028E-32E. Existing working-capital borrowings are treated as debt and refinanced; Ind AS 116 lease liabilities are excluded from debt and lease payments are deducted as a cash cost instead. Interest is charged on opening balances (no circularity); interest income on retained cash is ignored.</t>
  </si>
  <si>
    <t xml:space="preserve">TRANSACTION — SOURCES &amp; USES</t>
  </si>
  <si>
    <t xml:space="preserve">Rs crore</t>
  </si>
  <si>
    <t xml:space="preserve">Sources</t>
  </si>
  <si>
    <t xml:space="preserve">% of total</t>
  </si>
  <si>
    <t xml:space="preserve">x FY27E EBITDA</t>
  </si>
  <si>
    <t xml:space="preserve">Senior secured term loan</t>
  </si>
  <si>
    <t xml:space="preserve">Subordinated NCDs</t>
  </si>
  <si>
    <t xml:space="preserve">Existing balance-sheet cash used</t>
  </si>
  <si>
    <t xml:space="preserve">Sponsor equity (plug)</t>
  </si>
  <si>
    <t xml:space="preserve">Total sources</t>
  </si>
  <si>
    <t xml:space="preserve">Uses</t>
  </si>
  <si>
    <t xml:space="preserve">Purchase of 100% equity</t>
  </si>
  <si>
    <t xml:space="preserve">Refinance existing borrowings</t>
  </si>
  <si>
    <t xml:space="preserve">Financing fees</t>
  </si>
  <si>
    <t xml:space="preserve">Advisory, stamp duty &amp; other costs</t>
  </si>
  <si>
    <t xml:space="preserve">Total uses</t>
  </si>
  <si>
    <t xml:space="preserve">Check: sources - uses (should be zero)</t>
  </si>
  <si>
    <t xml:space="preserve">Deal Metrics</t>
  </si>
  <si>
    <t xml:space="preserve">Premium to current price</t>
  </si>
  <si>
    <t xml:space="preserve">EV / FY2026A Adj. EBITDA</t>
  </si>
  <si>
    <t xml:space="preserve">Sponsor equity contribution (% of total sources)</t>
  </si>
  <si>
    <t xml:space="preserve">LBO MODEL — OPERATING PROJECTIONS, CASH FLOW &amp; DEBT SCHEDULE</t>
  </si>
  <si>
    <t xml:space="preserve">Rs crore  |  Fiscal year ends 31 March  |  Close assumed at end of FY2027E; projection years FY2028E-FY2032E</t>
  </si>
  <si>
    <t xml:space="preserve">FY2026A</t>
  </si>
  <si>
    <t xml:space="preserve">FY2027E (Close)</t>
  </si>
  <si>
    <t xml:space="preserve">Revenue</t>
  </si>
  <si>
    <t xml:space="preserve">  % growth</t>
  </si>
  <si>
    <t xml:space="preserve">Adj. EBITDA (as reported, post-Ind AS 116)</t>
  </si>
  <si>
    <t xml:space="preserve">  % margin</t>
  </si>
  <si>
    <t xml:space="preserve">(-) Lease payments (Ind AS 116)</t>
  </si>
  <si>
    <t xml:space="preserve">EBITDA after lease payments</t>
  </si>
  <si>
    <t xml:space="preserve">(-) Depreciation &amp; amortisation</t>
  </si>
  <si>
    <t xml:space="preserve">(-) Integration &amp; other one-off cash costs</t>
  </si>
  <si>
    <t xml:space="preserve">EBIT</t>
  </si>
  <si>
    <t xml:space="preserve">(-) Interest - senior term loan</t>
  </si>
  <si>
    <t xml:space="preserve">(-) Interest - NCDs</t>
  </si>
  <si>
    <t xml:space="preserve">Total interest expense</t>
  </si>
  <si>
    <t xml:space="preserve">Profit before tax</t>
  </si>
  <si>
    <t xml:space="preserve">(-) Cash taxes</t>
  </si>
  <si>
    <t xml:space="preserve">Net income</t>
  </si>
  <si>
    <t xml:space="preserve">Cash Flow</t>
  </si>
  <si>
    <t xml:space="preserve">(+) Depreciation &amp; amortisation</t>
  </si>
  <si>
    <t xml:space="preserve">(-) Capital expenditure</t>
  </si>
  <si>
    <t xml:space="preserve">(-) Investment in net working capital</t>
  </si>
  <si>
    <t xml:space="preserve">Free cash flow before debt repayment</t>
  </si>
  <si>
    <t xml:space="preserve">Net change in cash (after debt repayment)</t>
  </si>
  <si>
    <t xml:space="preserve">Cash available for optional prepayment</t>
  </si>
  <si>
    <t xml:space="preserve">  FCF conversion (FCF / Adj. EBITDA)</t>
  </si>
  <si>
    <t xml:space="preserve">Debt Schedule</t>
  </si>
  <si>
    <t xml:space="preserve">Senior term loan - beginning</t>
  </si>
  <si>
    <t xml:space="preserve">(-) Mandatory amortisation</t>
  </si>
  <si>
    <t xml:space="preserve">(-) Optional prepayment (cash sweep)</t>
  </si>
  <si>
    <t xml:space="preserve">Senior term loan - ending</t>
  </si>
  <si>
    <t xml:space="preserve">Subordinated NCDs - ending (bullet)</t>
  </si>
  <si>
    <t xml:space="preserve">Total debt</t>
  </si>
  <si>
    <t xml:space="preserve">Cash - ending</t>
  </si>
  <si>
    <t xml:space="preserve">Net debt</t>
  </si>
  <si>
    <t xml:space="preserve">Credit Statistics</t>
  </si>
  <si>
    <t xml:space="preserve">Total debt / Adj. EBITDA</t>
  </si>
  <si>
    <t xml:space="preserve">Net debt / Adj. EBITDA</t>
  </si>
  <si>
    <t xml:space="preserve">Adj. EBITDA / interest expense</t>
  </si>
  <si>
    <t xml:space="preserve">(EBITDA after leases - capex) / interest expense</t>
  </si>
  <si>
    <t xml:space="preserve">Cumulative debt paydown since close</t>
  </si>
  <si>
    <t xml:space="preserve">Check: cash &gt;= minimum balance</t>
  </si>
  <si>
    <t xml:space="preserve">FY2026A revenue and Adj. EBITDA are reported consolidated figures (Ind AS). FY2027E is the entry year and uses the FY2027E growth and margin estimates on the Assumptions tab (identical in every scenario so that debt sizing does not change with the scenario). FY2028E onward follows the selected scenario.</t>
  </si>
  <si>
    <t xml:space="preserve">RETURNS ANALYSIS</t>
  </si>
  <si>
    <t xml:space="preserve">Rs crore  |  Returns to the sponsor in INR; no interim dividends assumed; exit at end of the stated year</t>
  </si>
  <si>
    <t xml:space="preserve">Exit year</t>
  </si>
  <si>
    <t xml:space="preserve">Years held</t>
  </si>
  <si>
    <t xml:space="preserve">Exit-year Adj. EBITDA</t>
  </si>
  <si>
    <t xml:space="preserve">Exit multiple</t>
  </si>
  <si>
    <t xml:space="preserve">Exit enterprise value</t>
  </si>
  <si>
    <t xml:space="preserve">(-) Total debt at exit</t>
  </si>
  <si>
    <t xml:space="preserve">(+) Cash at exit</t>
  </si>
  <si>
    <t xml:space="preserve">Exit equity value</t>
  </si>
  <si>
    <t xml:space="preserve">Sponsor equity invested</t>
  </si>
  <si>
    <t xml:space="preserve">MOIC</t>
  </si>
  <si>
    <t xml:space="preserve">IRR (INR)</t>
  </si>
  <si>
    <t xml:space="preserve">Sensitivity 1: IRR vs. exit multiple and exit year</t>
  </si>
  <si>
    <t xml:space="preserve">Exit multiple (x)  \  Years held</t>
  </si>
  <si>
    <t xml:space="preserve">Sensitivity 2: FY2032E (5-yr) IRR vs. offer premium and exit multiple</t>
  </si>
  <si>
    <t xml:space="preserve">Offer premium  \  Exit multiple</t>
  </si>
  <si>
    <t xml:space="preserve">Ability-to-pay: what could a sponsor pay and still earn the hurdle IRR?</t>
  </si>
  <si>
    <t xml:space="preserve">Target IRR (hurdle)</t>
  </si>
  <si>
    <t xml:space="preserve">Exit equity value (FY2032E, base exit multiple)</t>
  </si>
  <si>
    <t xml:space="preserve">Maximum sponsor equity cheque</t>
  </si>
  <si>
    <t xml:space="preserve">Maximum equity purchase price</t>
  </si>
  <si>
    <t xml:space="preserve">Maximum offer price per share (Rs)</t>
  </si>
  <si>
    <t xml:space="preserve">Implied premium / (discount) to current price</t>
  </si>
  <si>
    <t xml:space="preserve">Implied EV / FY2027E Adj. EBITDA</t>
  </si>
  <si>
    <t xml:space="preserve">IRR = MOIC^(1/years) - 1 because there are no interim distributions. Sensitivity 2 recomputes the sponsor equity cheque for each premium (debt is fixed at 3.5x FY2027E EBITDA, so a higher price is funded entirely with equity) while exit equity is unchanged. The ability-to-pay block solves backwards: given the exit value and the hurdle IRR, how large an equity cheque - and therefore how high an offer price - is affordable.</t>
  </si>
</sst>
</file>

<file path=xl/styles.xml><?xml version="1.0" encoding="utf-8"?>
<styleSheet xmlns="http://schemas.openxmlformats.org/spreadsheetml/2006/main">
  <numFmts count="9">
    <numFmt numFmtId="164" formatCode="General"/>
    <numFmt numFmtId="165" formatCode="&quot;Rs &quot;#,##0.00"/>
    <numFmt numFmtId="166" formatCode="#,##0.0;\(#,##0.0\);\-"/>
    <numFmt numFmtId="167" formatCode="0.0\x"/>
    <numFmt numFmtId="168" formatCode="0.0%;\(0.0%\);\-"/>
    <numFmt numFmtId="169" formatCode="0.00\x"/>
    <numFmt numFmtId="170" formatCode="0.00"/>
    <numFmt numFmtId="171" formatCode="0"/>
    <numFmt numFmtId="172" formatCode="0&quot; yrs&quot;"/>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name val="Arial"/>
      <family val="0"/>
      <charset val="1"/>
    </font>
    <font>
      <sz val="10"/>
      <color rgb="FF000000"/>
      <name val="Arial"/>
      <family val="0"/>
      <charset val="1"/>
    </font>
    <font>
      <sz val="10"/>
      <color rgb="FF008000"/>
      <name val="Arial"/>
      <family val="0"/>
      <charset val="1"/>
    </font>
    <font>
      <sz val="10"/>
      <color rgb="FF0000FF"/>
      <name val="Arial"/>
      <family val="0"/>
      <charset val="1"/>
    </font>
    <font>
      <b val="true"/>
      <sz val="10"/>
      <color rgb="FF000000"/>
      <name val="Arial"/>
      <family val="0"/>
      <charset val="1"/>
    </font>
    <font>
      <b val="true"/>
      <sz val="10"/>
      <color rgb="FFFFFFFF"/>
      <name val="Arial"/>
      <family val="0"/>
      <charset val="1"/>
    </font>
    <font>
      <b val="true"/>
      <sz val="10"/>
      <color rgb="FF008000"/>
      <name val="Arial"/>
      <family val="0"/>
      <charset val="1"/>
    </font>
  </fonts>
  <fills count="5">
    <fill>
      <patternFill patternType="none"/>
    </fill>
    <fill>
      <patternFill patternType="gray125"/>
    </fill>
    <fill>
      <patternFill patternType="solid">
        <fgColor rgb="FFD9E1F2"/>
        <bgColor rgb="FFCCFFFF"/>
      </patternFill>
    </fill>
    <fill>
      <patternFill patternType="solid">
        <fgColor rgb="FFFFFF00"/>
        <bgColor rgb="FFFFFF00"/>
      </patternFill>
    </fill>
    <fill>
      <patternFill patternType="solid">
        <fgColor rgb="FF1F3864"/>
        <bgColor rgb="FF333333"/>
      </patternFill>
    </fill>
  </fills>
  <borders count="2">
    <border diagonalUp="false" diagonalDown="false">
      <left/>
      <right/>
      <top/>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8" fontId="8"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1"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8" fontId="9" fillId="3"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1"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71" fontId="9" fillId="3"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tru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0" fillId="3" borderId="0" xfId="0" applyFont="true" applyBorder="false" applyAlignment="false" applyProtection="false">
      <alignment horizontal="general" vertical="bottom" textRotation="0" wrapText="false" indent="0" shrinkToFit="false"/>
      <protection locked="true" hidden="false"/>
    </xf>
    <xf numFmtId="172" fontId="11" fillId="4"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center" vertical="bottom" textRotation="0" wrapText="false" indent="0" shrinkToFit="false"/>
      <protection locked="true" hidden="false"/>
    </xf>
    <xf numFmtId="167" fontId="11" fillId="4"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center"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000"/>
      <rgbColor rgb="FFFF99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B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4"/>
    <col collapsed="false" customWidth="true" hidden="false" outlineLevel="0" max="2" min="2"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72" hidden="false" customHeight="true" outlineLevel="0" collapsed="false">
      <c r="A5" s="4" t="s">
        <v>3</v>
      </c>
    </row>
    <row r="7" customFormat="false" ht="15" hidden="false" customHeight="false" outlineLevel="0" collapsed="false">
      <c r="A7" s="3" t="s">
        <v>4</v>
      </c>
    </row>
    <row r="8" customFormat="false" ht="57.75" hidden="false" customHeight="true" outlineLevel="0" collapsed="false">
      <c r="A8" s="4" t="s">
        <v>5</v>
      </c>
    </row>
    <row r="9" customFormat="false" ht="15" hidden="false" customHeight="false" outlineLevel="0" collapsed="false">
      <c r="A9" s="4" t="s">
        <v>6</v>
      </c>
    </row>
    <row r="10" customFormat="false" ht="15" hidden="false" customHeight="false" outlineLevel="0" collapsed="false">
      <c r="A10" s="4" t="s">
        <v>7</v>
      </c>
    </row>
    <row r="11" customFormat="false" ht="57.75" hidden="false" customHeight="true" outlineLevel="0" collapsed="false">
      <c r="A11" s="4" t="s">
        <v>8</v>
      </c>
    </row>
    <row r="13" customFormat="false" ht="15" hidden="false" customHeight="false" outlineLevel="0" collapsed="false">
      <c r="A13" s="3" t="s">
        <v>9</v>
      </c>
    </row>
    <row r="14" customFormat="false" ht="72" hidden="false" customHeight="true" outlineLevel="0" collapsed="false">
      <c r="A14" s="4" t="s">
        <v>10</v>
      </c>
    </row>
    <row r="16" customFormat="false" ht="15" hidden="false" customHeight="false" outlineLevel="0" collapsed="false">
      <c r="A16" s="3" t="s">
        <v>11</v>
      </c>
    </row>
    <row r="17" customFormat="false" ht="15" hidden="false" customHeight="false" outlineLevel="0" collapsed="false">
      <c r="A17" s="5" t="s">
        <v>12</v>
      </c>
      <c r="B17" s="6" t="str">
        <f aca="false">Assumptions!$B$41</f>
        <v>Base</v>
      </c>
    </row>
    <row r="18" customFormat="false" ht="15" hidden="false" customHeight="false" outlineLevel="0" collapsed="false">
      <c r="A18" s="5" t="s">
        <v>13</v>
      </c>
      <c r="B18" s="7" t="n">
        <f aca="false">Assumptions!$B$7</f>
        <v>1368.25</v>
      </c>
    </row>
    <row r="19" customFormat="false" ht="15" hidden="false" customHeight="false" outlineLevel="0" collapsed="false">
      <c r="A19" s="5" t="s">
        <v>14</v>
      </c>
      <c r="B19" s="8" t="n">
        <f aca="false">Assumptions!$B$12</f>
        <v>6121.055</v>
      </c>
    </row>
    <row r="20" customFormat="false" ht="15" hidden="false" customHeight="false" outlineLevel="0" collapsed="false">
      <c r="A20" s="5" t="s">
        <v>15</v>
      </c>
      <c r="B20" s="9" t="n">
        <f aca="false">Assumptions!$B$16</f>
        <v>10.4149134939715</v>
      </c>
    </row>
    <row r="21" customFormat="false" ht="15" hidden="false" customHeight="false" outlineLevel="0" collapsed="false">
      <c r="A21" s="5" t="s">
        <v>16</v>
      </c>
      <c r="B21" s="9" t="n">
        <f aca="false">Assumptions!$B$28</f>
        <v>3.5</v>
      </c>
    </row>
    <row r="22" customFormat="false" ht="15" hidden="false" customHeight="false" outlineLevel="0" collapsed="false">
      <c r="A22" s="5" t="s">
        <v>17</v>
      </c>
      <c r="B22" s="8" t="n">
        <f aca="false">Transaction!$B$8</f>
        <v>4496.99055272</v>
      </c>
    </row>
    <row r="23" customFormat="false" ht="15" hidden="false" customHeight="false" outlineLevel="0" collapsed="false">
      <c r="A23" s="5" t="s">
        <v>18</v>
      </c>
      <c r="B23" s="10" t="n">
        <f aca="false">Transaction!C8</f>
        <v>0.607167181386357</v>
      </c>
    </row>
    <row r="24" customFormat="false" ht="15" hidden="false" customHeight="false" outlineLevel="0" collapsed="false">
      <c r="A24" s="5" t="s">
        <v>19</v>
      </c>
      <c r="B24" s="11" t="n">
        <f aca="false">Returns!D13</f>
        <v>1.91966405925261</v>
      </c>
    </row>
    <row r="25" customFormat="false" ht="15" hidden="false" customHeight="false" outlineLevel="0" collapsed="false">
      <c r="A25" s="5" t="s">
        <v>20</v>
      </c>
      <c r="B25" s="10" t="n">
        <f aca="false">Returns!D14</f>
        <v>0.13931823076461</v>
      </c>
    </row>
    <row r="26" customFormat="false" ht="15" hidden="false" customHeight="false" outlineLevel="0" collapsed="false">
      <c r="A26" s="5" t="s">
        <v>21</v>
      </c>
      <c r="B26" s="7" t="n">
        <f aca="false">Returns!B41</f>
        <v>1163.28847942453</v>
      </c>
    </row>
    <row r="27" customFormat="false" ht="15" hidden="false" customHeight="false" outlineLevel="0" collapsed="false">
      <c r="A27" s="5" t="s">
        <v>22</v>
      </c>
      <c r="B27" s="9" t="n">
        <f aca="false">'LBO Model'!H42</f>
        <v>0.73258480851981</v>
      </c>
    </row>
    <row r="29" customFormat="false" ht="31.5" hidden="false" customHeight="true" outlineLevel="0" collapsed="false">
      <c r="A29" s="12"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H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8" min="3" style="0" width="12"/>
  </cols>
  <sheetData>
    <row r="1" customFormat="false" ht="17.35" hidden="false" customHeight="false" outlineLevel="0" collapsed="false">
      <c r="A1" s="1" t="s">
        <v>24</v>
      </c>
    </row>
    <row r="2" customFormat="false" ht="15" hidden="false" customHeight="false" outlineLevel="0" collapsed="false">
      <c r="A2" s="2" t="s">
        <v>25</v>
      </c>
    </row>
    <row r="4" customFormat="false" ht="15" hidden="false" customHeight="false" outlineLevel="0" collapsed="false">
      <c r="A4" s="13" t="s">
        <v>26</v>
      </c>
      <c r="B4" s="14"/>
      <c r="C4" s="14"/>
      <c r="D4" s="14"/>
      <c r="E4" s="14"/>
      <c r="F4" s="14"/>
      <c r="G4" s="14"/>
      <c r="H4" s="14"/>
    </row>
    <row r="5" customFormat="false" ht="15" hidden="false" customHeight="false" outlineLevel="0" collapsed="false">
      <c r="A5" s="15" t="s">
        <v>27</v>
      </c>
      <c r="B5" s="16" t="n">
        <v>1052.5</v>
      </c>
    </row>
    <row r="6" customFormat="false" ht="15" hidden="false" customHeight="false" outlineLevel="0" collapsed="false">
      <c r="A6" s="15" t="s">
        <v>28</v>
      </c>
      <c r="B6" s="17" t="n">
        <v>0.3</v>
      </c>
    </row>
    <row r="7" customFormat="false" ht="15" hidden="false" customHeight="false" outlineLevel="0" collapsed="false">
      <c r="A7" s="15" t="s">
        <v>13</v>
      </c>
      <c r="B7" s="18" t="n">
        <f aca="false">B5*(1+B6)</f>
        <v>1368.25</v>
      </c>
    </row>
    <row r="8" customFormat="false" ht="15" hidden="false" customHeight="false" outlineLevel="0" collapsed="false">
      <c r="A8" s="15" t="s">
        <v>29</v>
      </c>
      <c r="B8" s="19" t="n">
        <v>4.94</v>
      </c>
    </row>
    <row r="9" customFormat="false" ht="15" hidden="false" customHeight="false" outlineLevel="0" collapsed="false">
      <c r="A9" s="15" t="s">
        <v>30</v>
      </c>
      <c r="B9" s="20" t="n">
        <f aca="false">B7*B8</f>
        <v>6759.155</v>
      </c>
    </row>
    <row r="10" customFormat="false" ht="15" hidden="false" customHeight="false" outlineLevel="0" collapsed="false">
      <c r="A10" s="15" t="s">
        <v>31</v>
      </c>
      <c r="B10" s="21" t="n">
        <v>514.4</v>
      </c>
    </row>
    <row r="11" customFormat="false" ht="15" hidden="false" customHeight="false" outlineLevel="0" collapsed="false">
      <c r="A11" s="15" t="s">
        <v>32</v>
      </c>
      <c r="B11" s="21" t="n">
        <v>1152.5</v>
      </c>
    </row>
    <row r="12" customFormat="false" ht="15" hidden="false" customHeight="false" outlineLevel="0" collapsed="false">
      <c r="A12" s="22" t="s">
        <v>33</v>
      </c>
      <c r="B12" s="23" t="n">
        <f aca="false">B9+B10-B11</f>
        <v>6121.055</v>
      </c>
    </row>
    <row r="13" customFormat="false" ht="15" hidden="false" customHeight="false" outlineLevel="0" collapsed="false">
      <c r="A13" s="15" t="s">
        <v>34</v>
      </c>
      <c r="B13" s="21" t="n">
        <v>513.89</v>
      </c>
    </row>
    <row r="14" customFormat="false" ht="15" hidden="false" customHeight="false" outlineLevel="0" collapsed="false">
      <c r="A14" s="15" t="s">
        <v>35</v>
      </c>
      <c r="B14" s="24" t="n">
        <f aca="false">'LBO Model'!C7</f>
        <v>587.720196</v>
      </c>
    </row>
    <row r="15" customFormat="false" ht="15" hidden="false" customHeight="false" outlineLevel="0" collapsed="false">
      <c r="A15" s="15" t="s">
        <v>36</v>
      </c>
      <c r="B15" s="25" t="n">
        <f aca="false">B12/B13</f>
        <v>11.9112164081807</v>
      </c>
    </row>
    <row r="16" customFormat="false" ht="15" hidden="false" customHeight="false" outlineLevel="0" collapsed="false">
      <c r="A16" s="15" t="s">
        <v>37</v>
      </c>
      <c r="B16" s="25" t="n">
        <f aca="false">B12/B14</f>
        <v>10.4149134939715</v>
      </c>
    </row>
    <row r="18" customFormat="false" ht="15" hidden="false" customHeight="false" outlineLevel="0" collapsed="false">
      <c r="A18" s="13" t="s">
        <v>38</v>
      </c>
      <c r="B18" s="14"/>
      <c r="C18" s="14"/>
      <c r="D18" s="14"/>
      <c r="E18" s="14"/>
      <c r="F18" s="14"/>
      <c r="G18" s="14"/>
      <c r="H18" s="14"/>
    </row>
    <row r="19" customFormat="false" ht="15" hidden="false" customHeight="false" outlineLevel="0" collapsed="false">
      <c r="A19" s="15" t="s">
        <v>39</v>
      </c>
      <c r="B19" s="26" t="n">
        <v>0.15</v>
      </c>
    </row>
    <row r="20" customFormat="false" ht="15" hidden="false" customHeight="false" outlineLevel="0" collapsed="false">
      <c r="A20" s="15" t="s">
        <v>40</v>
      </c>
      <c r="B20" s="26" t="n">
        <v>0.126</v>
      </c>
    </row>
    <row r="22" customFormat="false" ht="15" hidden="false" customHeight="false" outlineLevel="0" collapsed="false">
      <c r="A22" s="13" t="s">
        <v>41</v>
      </c>
      <c r="B22" s="14"/>
      <c r="C22" s="14"/>
      <c r="D22" s="14"/>
      <c r="E22" s="14"/>
      <c r="F22" s="14"/>
      <c r="G22" s="14"/>
      <c r="H22" s="14"/>
    </row>
    <row r="23" customFormat="false" ht="15" hidden="false" customHeight="false" outlineLevel="0" collapsed="false">
      <c r="A23" s="15" t="s">
        <v>42</v>
      </c>
      <c r="B23" s="27" t="n">
        <v>2.5</v>
      </c>
    </row>
    <row r="24" customFormat="false" ht="15" hidden="false" customHeight="false" outlineLevel="0" collapsed="false">
      <c r="A24" s="15" t="s">
        <v>43</v>
      </c>
      <c r="B24" s="27" t="n">
        <v>1</v>
      </c>
    </row>
    <row r="25" customFormat="false" ht="15" hidden="false" customHeight="false" outlineLevel="0" collapsed="false">
      <c r="A25" s="15" t="s">
        <v>44</v>
      </c>
      <c r="B25" s="20" t="n">
        <f aca="false">B23*B14</f>
        <v>1469.30049</v>
      </c>
    </row>
    <row r="26" customFormat="false" ht="15" hidden="false" customHeight="false" outlineLevel="0" collapsed="false">
      <c r="A26" s="15" t="s">
        <v>45</v>
      </c>
      <c r="B26" s="20" t="n">
        <f aca="false">B24*B14</f>
        <v>587.720196</v>
      </c>
    </row>
    <row r="27" customFormat="false" ht="15" hidden="false" customHeight="false" outlineLevel="0" collapsed="false">
      <c r="A27" s="22" t="s">
        <v>46</v>
      </c>
      <c r="B27" s="23" t="n">
        <f aca="false">B25+B26</f>
        <v>2057.020686</v>
      </c>
    </row>
    <row r="28" customFormat="false" ht="15" hidden="false" customHeight="false" outlineLevel="0" collapsed="false">
      <c r="A28" s="15" t="s">
        <v>47</v>
      </c>
      <c r="B28" s="25" t="n">
        <f aca="false">B27/B14</f>
        <v>3.5</v>
      </c>
    </row>
    <row r="29" customFormat="false" ht="15" hidden="false" customHeight="false" outlineLevel="0" collapsed="false">
      <c r="A29" s="15" t="s">
        <v>48</v>
      </c>
      <c r="B29" s="26" t="n">
        <v>0.105</v>
      </c>
    </row>
    <row r="30" customFormat="false" ht="15" hidden="false" customHeight="false" outlineLevel="0" collapsed="false">
      <c r="A30" s="15" t="s">
        <v>49</v>
      </c>
      <c r="B30" s="26" t="n">
        <v>0.125</v>
      </c>
    </row>
    <row r="31" customFormat="false" ht="15" hidden="false" customHeight="false" outlineLevel="0" collapsed="false">
      <c r="A31" s="15" t="s">
        <v>50</v>
      </c>
      <c r="B31" s="26" t="n">
        <v>0.05</v>
      </c>
    </row>
    <row r="32" customFormat="false" ht="15" hidden="false" customHeight="false" outlineLevel="0" collapsed="false">
      <c r="A32" s="15" t="s">
        <v>51</v>
      </c>
      <c r="B32" s="26" t="n">
        <v>1</v>
      </c>
    </row>
    <row r="33" customFormat="false" ht="15" hidden="false" customHeight="false" outlineLevel="0" collapsed="false">
      <c r="A33" s="15" t="s">
        <v>52</v>
      </c>
      <c r="B33" s="26" t="n">
        <v>0.02</v>
      </c>
    </row>
    <row r="34" customFormat="false" ht="15" hidden="false" customHeight="false" outlineLevel="0" collapsed="false">
      <c r="A34" s="15" t="s">
        <v>53</v>
      </c>
      <c r="B34" s="26" t="n">
        <v>0.015</v>
      </c>
    </row>
    <row r="35" customFormat="false" ht="15" hidden="false" customHeight="false" outlineLevel="0" collapsed="false">
      <c r="A35" s="15" t="s">
        <v>54</v>
      </c>
      <c r="B35" s="21" t="n">
        <v>300</v>
      </c>
    </row>
    <row r="36" customFormat="false" ht="15" hidden="false" customHeight="false" outlineLevel="0" collapsed="false">
      <c r="A36" s="15" t="s">
        <v>55</v>
      </c>
      <c r="B36" s="20" t="n">
        <f aca="false">MAX(0,B11-B35)</f>
        <v>852.5</v>
      </c>
    </row>
    <row r="37" customFormat="false" ht="15" hidden="false" customHeight="false" outlineLevel="0" collapsed="false">
      <c r="A37" s="15" t="s">
        <v>56</v>
      </c>
      <c r="B37" s="26" t="n">
        <v>0.2517</v>
      </c>
    </row>
    <row r="39" customFormat="false" ht="15" hidden="false" customHeight="false" outlineLevel="0" collapsed="false">
      <c r="A39" s="13" t="s">
        <v>57</v>
      </c>
      <c r="B39" s="14"/>
      <c r="C39" s="14"/>
      <c r="D39" s="14"/>
      <c r="E39" s="14"/>
      <c r="F39" s="14"/>
      <c r="G39" s="14"/>
      <c r="H39" s="14"/>
    </row>
    <row r="40" customFormat="false" ht="15" hidden="false" customHeight="false" outlineLevel="0" collapsed="false">
      <c r="A40" s="15" t="s">
        <v>58</v>
      </c>
      <c r="B40" s="28" t="n">
        <v>2</v>
      </c>
    </row>
    <row r="41" customFormat="false" ht="15" hidden="false" customHeight="false" outlineLevel="0" collapsed="false">
      <c r="A41" s="15" t="s">
        <v>59</v>
      </c>
      <c r="B41" s="5" t="str">
        <f aca="false">CHOOSE(B40,"Downside","Base","Upside")</f>
        <v>Base</v>
      </c>
    </row>
    <row r="43" customFormat="false" ht="15" hidden="false" customHeight="false" outlineLevel="0" collapsed="false">
      <c r="D43" s="29" t="s">
        <v>60</v>
      </c>
      <c r="E43" s="29" t="s">
        <v>61</v>
      </c>
      <c r="F43" s="29" t="s">
        <v>62</v>
      </c>
      <c r="G43" s="29" t="s">
        <v>63</v>
      </c>
      <c r="H43" s="29" t="s">
        <v>64</v>
      </c>
    </row>
    <row r="44" customFormat="false" ht="15" hidden="false" customHeight="false" outlineLevel="0" collapsed="false">
      <c r="A44" s="15" t="s">
        <v>65</v>
      </c>
      <c r="D44" s="26" t="n">
        <v>0.05</v>
      </c>
      <c r="E44" s="26" t="n">
        <v>0.04</v>
      </c>
      <c r="F44" s="26" t="n">
        <v>0.04</v>
      </c>
      <c r="G44" s="26" t="n">
        <v>0.04</v>
      </c>
      <c r="H44" s="26" t="n">
        <v>0.04</v>
      </c>
    </row>
    <row r="45" customFormat="false" ht="15" hidden="false" customHeight="false" outlineLevel="0" collapsed="false">
      <c r="A45" s="15" t="s">
        <v>66</v>
      </c>
      <c r="D45" s="26" t="n">
        <v>0.09</v>
      </c>
      <c r="E45" s="26" t="n">
        <v>0.09</v>
      </c>
      <c r="F45" s="26" t="n">
        <v>0.08</v>
      </c>
      <c r="G45" s="26" t="n">
        <v>0.08</v>
      </c>
      <c r="H45" s="26" t="n">
        <v>0.07</v>
      </c>
    </row>
    <row r="46" customFormat="false" ht="15" hidden="false" customHeight="false" outlineLevel="0" collapsed="false">
      <c r="A46" s="15" t="s">
        <v>67</v>
      </c>
      <c r="D46" s="26" t="n">
        <v>0.12</v>
      </c>
      <c r="E46" s="26" t="n">
        <v>0.11</v>
      </c>
      <c r="F46" s="26" t="n">
        <v>0.1</v>
      </c>
      <c r="G46" s="26" t="n">
        <v>0.09</v>
      </c>
      <c r="H46" s="26" t="n">
        <v>0.09</v>
      </c>
    </row>
    <row r="47" customFormat="false" ht="15" hidden="false" customHeight="false" outlineLevel="0" collapsed="false">
      <c r="A47" s="22" t="s">
        <v>68</v>
      </c>
      <c r="D47" s="30" t="n">
        <f aca="false">CHOOSE($B$40,D44,D45,D46)</f>
        <v>0.09</v>
      </c>
      <c r="E47" s="30" t="n">
        <f aca="false">CHOOSE($B$40,E44,E45,E46)</f>
        <v>0.09</v>
      </c>
      <c r="F47" s="30" t="n">
        <f aca="false">CHOOSE($B$40,F44,F45,F46)</f>
        <v>0.08</v>
      </c>
      <c r="G47" s="30" t="n">
        <f aca="false">CHOOSE($B$40,G44,G45,G46)</f>
        <v>0.08</v>
      </c>
      <c r="H47" s="30" t="n">
        <f aca="false">CHOOSE($B$40,H44,H45,H46)</f>
        <v>0.07</v>
      </c>
    </row>
    <row r="49" customFormat="false" ht="15" hidden="false" customHeight="false" outlineLevel="0" collapsed="false">
      <c r="A49" s="15" t="s">
        <v>69</v>
      </c>
      <c r="D49" s="26" t="n">
        <v>0.115</v>
      </c>
      <c r="E49" s="26" t="n">
        <v>0.115</v>
      </c>
      <c r="F49" s="26" t="n">
        <v>0.114</v>
      </c>
      <c r="G49" s="26" t="n">
        <v>0.114</v>
      </c>
      <c r="H49" s="26" t="n">
        <v>0.113</v>
      </c>
    </row>
    <row r="50" customFormat="false" ht="15" hidden="false" customHeight="false" outlineLevel="0" collapsed="false">
      <c r="A50" s="15" t="s">
        <v>70</v>
      </c>
      <c r="D50" s="26" t="n">
        <v>0.126</v>
      </c>
      <c r="E50" s="26" t="n">
        <v>0.127</v>
      </c>
      <c r="F50" s="26" t="n">
        <v>0.128</v>
      </c>
      <c r="G50" s="26" t="n">
        <v>0.129</v>
      </c>
      <c r="H50" s="26" t="n">
        <v>0.13</v>
      </c>
    </row>
    <row r="51" customFormat="false" ht="15" hidden="false" customHeight="false" outlineLevel="0" collapsed="false">
      <c r="A51" s="15" t="s">
        <v>71</v>
      </c>
      <c r="D51" s="26" t="n">
        <v>0.13</v>
      </c>
      <c r="E51" s="26" t="n">
        <v>0.134</v>
      </c>
      <c r="F51" s="26" t="n">
        <v>0.138</v>
      </c>
      <c r="G51" s="26" t="n">
        <v>0.14</v>
      </c>
      <c r="H51" s="26" t="n">
        <v>0.14</v>
      </c>
    </row>
    <row r="52" customFormat="false" ht="15" hidden="false" customHeight="false" outlineLevel="0" collapsed="false">
      <c r="A52" s="22" t="s">
        <v>72</v>
      </c>
      <c r="D52" s="30" t="n">
        <f aca="false">CHOOSE($B$40,D49,D50,D51)</f>
        <v>0.126</v>
      </c>
      <c r="E52" s="30" t="n">
        <f aca="false">CHOOSE($B$40,E49,E50,E51)</f>
        <v>0.127</v>
      </c>
      <c r="F52" s="30" t="n">
        <f aca="false">CHOOSE($B$40,F49,F50,F51)</f>
        <v>0.128</v>
      </c>
      <c r="G52" s="30" t="n">
        <f aca="false">CHOOSE($B$40,G49,G50,G51)</f>
        <v>0.129</v>
      </c>
      <c r="H52" s="30" t="n">
        <f aca="false">CHOOSE($B$40,H49,H50,H51)</f>
        <v>0.13</v>
      </c>
    </row>
    <row r="54" customFormat="false" ht="15" hidden="false" customHeight="false" outlineLevel="0" collapsed="false">
      <c r="A54" s="15" t="s">
        <v>73</v>
      </c>
      <c r="D54" s="26" t="n">
        <v>0.012</v>
      </c>
      <c r="E54" s="26" t="n">
        <v>0.012</v>
      </c>
      <c r="F54" s="26" t="n">
        <v>0.012</v>
      </c>
      <c r="G54" s="26" t="n">
        <v>0.012</v>
      </c>
      <c r="H54" s="26" t="n">
        <v>0.012</v>
      </c>
    </row>
    <row r="55" customFormat="false" ht="15" hidden="false" customHeight="false" outlineLevel="0" collapsed="false">
      <c r="A55" s="15" t="s">
        <v>74</v>
      </c>
      <c r="D55" s="26" t="n">
        <v>0.014</v>
      </c>
      <c r="E55" s="26" t="n">
        <v>0.014</v>
      </c>
      <c r="F55" s="26" t="n">
        <v>0.014</v>
      </c>
      <c r="G55" s="26" t="n">
        <v>0.014</v>
      </c>
      <c r="H55" s="26" t="n">
        <v>0.014</v>
      </c>
    </row>
    <row r="56" customFormat="false" ht="15" hidden="false" customHeight="false" outlineLevel="0" collapsed="false">
      <c r="A56" s="15" t="s">
        <v>75</v>
      </c>
      <c r="D56" s="26" t="n">
        <v>0.08</v>
      </c>
      <c r="E56" s="26" t="n">
        <v>0.08</v>
      </c>
      <c r="F56" s="26" t="n">
        <v>0.08</v>
      </c>
      <c r="G56" s="26" t="n">
        <v>0.08</v>
      </c>
      <c r="H56" s="26" t="n">
        <v>0.08</v>
      </c>
    </row>
    <row r="57" customFormat="false" ht="15" hidden="false" customHeight="false" outlineLevel="0" collapsed="false">
      <c r="A57" s="15" t="s">
        <v>76</v>
      </c>
      <c r="D57" s="21" t="n">
        <v>15</v>
      </c>
      <c r="E57" s="21" t="n">
        <v>10</v>
      </c>
      <c r="F57" s="21" t="n">
        <v>0</v>
      </c>
      <c r="G57" s="21" t="n">
        <v>0</v>
      </c>
      <c r="H57" s="21" t="n">
        <v>0</v>
      </c>
    </row>
    <row r="58" customFormat="false" ht="15" hidden="false" customHeight="false" outlineLevel="0" collapsed="false">
      <c r="A58" s="15" t="s">
        <v>77</v>
      </c>
      <c r="D58" s="26" t="n">
        <v>0.012</v>
      </c>
      <c r="E58" s="26" t="n">
        <v>0.012</v>
      </c>
      <c r="F58" s="26" t="n">
        <v>0.012</v>
      </c>
      <c r="G58" s="26" t="n">
        <v>0.012</v>
      </c>
      <c r="H58" s="26" t="n">
        <v>0.012</v>
      </c>
    </row>
    <row r="60" customFormat="false" ht="15" hidden="false" customHeight="false" outlineLevel="0" collapsed="false">
      <c r="A60" s="13" t="s">
        <v>78</v>
      </c>
      <c r="B60" s="14"/>
      <c r="C60" s="14"/>
      <c r="D60" s="14"/>
      <c r="E60" s="14"/>
      <c r="F60" s="14"/>
      <c r="G60" s="14"/>
      <c r="H60" s="14"/>
    </row>
    <row r="61" customFormat="false" ht="15" hidden="false" customHeight="false" outlineLevel="0" collapsed="false">
      <c r="A61" s="15" t="s">
        <v>79</v>
      </c>
      <c r="B61" s="27" t="n">
        <v>10</v>
      </c>
    </row>
    <row r="62" customFormat="false" ht="15" hidden="false" customHeight="false" outlineLevel="0" collapsed="false">
      <c r="A62" s="15" t="s">
        <v>80</v>
      </c>
      <c r="B62" s="17" t="n">
        <v>0.2</v>
      </c>
    </row>
    <row r="64" customFormat="false" ht="66" hidden="false" customHeight="true" outlineLevel="0" collapsed="false">
      <c r="A64" s="31" t="s">
        <v>81</v>
      </c>
      <c r="B64" s="31"/>
      <c r="C64" s="31"/>
      <c r="D64" s="31"/>
      <c r="E64" s="31"/>
      <c r="F64" s="31"/>
      <c r="G64" s="31"/>
      <c r="H64" s="31"/>
    </row>
    <row r="65" customFormat="false" ht="79.5" hidden="false" customHeight="true" outlineLevel="0" collapsed="false">
      <c r="A65" s="31" t="s">
        <v>82</v>
      </c>
      <c r="B65" s="31"/>
      <c r="C65" s="31"/>
      <c r="D65" s="31"/>
      <c r="E65" s="31"/>
      <c r="F65" s="31"/>
      <c r="G65" s="31"/>
      <c r="H65" s="31"/>
    </row>
  </sheetData>
  <mergeCells count="2">
    <mergeCell ref="A64:H64"/>
    <mergeCell ref="A65:H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4" min="4" style="0" width="18"/>
  </cols>
  <sheetData>
    <row r="1" customFormat="false" ht="17.35" hidden="false" customHeight="false" outlineLevel="0" collapsed="false">
      <c r="A1" s="1" t="s">
        <v>83</v>
      </c>
    </row>
    <row r="2" customFormat="false" ht="15" hidden="false" customHeight="false" outlineLevel="0" collapsed="false">
      <c r="A2" s="2" t="s">
        <v>84</v>
      </c>
    </row>
    <row r="4" customFormat="false" ht="15" hidden="false" customHeight="false" outlineLevel="0" collapsed="false">
      <c r="A4" s="32" t="s">
        <v>85</v>
      </c>
      <c r="B4" s="29" t="s">
        <v>84</v>
      </c>
      <c r="C4" s="29" t="s">
        <v>86</v>
      </c>
      <c r="D4" s="29" t="s">
        <v>87</v>
      </c>
    </row>
    <row r="5" customFormat="false" ht="15" hidden="false" customHeight="false" outlineLevel="0" collapsed="false">
      <c r="A5" s="15" t="s">
        <v>88</v>
      </c>
      <c r="B5" s="24" t="n">
        <f aca="false">Assumptions!$B$25</f>
        <v>1469.30049</v>
      </c>
      <c r="C5" s="33" t="n">
        <f aca="false">B5/$B$9</f>
        <v>0.198379566660041</v>
      </c>
      <c r="D5" s="34" t="n">
        <f aca="false">B5/Assumptions!$B$14</f>
        <v>2.5</v>
      </c>
    </row>
    <row r="6" customFormat="false" ht="15" hidden="false" customHeight="false" outlineLevel="0" collapsed="false">
      <c r="A6" s="15" t="s">
        <v>89</v>
      </c>
      <c r="B6" s="24" t="n">
        <f aca="false">Assumptions!$B$26</f>
        <v>587.720196</v>
      </c>
      <c r="C6" s="33" t="n">
        <f aca="false">B6/$B$9</f>
        <v>0.0793518266640166</v>
      </c>
      <c r="D6" s="34" t="n">
        <f aca="false">B6/Assumptions!$B$14</f>
        <v>1</v>
      </c>
    </row>
    <row r="7" customFormat="false" ht="15" hidden="false" customHeight="false" outlineLevel="0" collapsed="false">
      <c r="A7" s="15" t="s">
        <v>90</v>
      </c>
      <c r="B7" s="24" t="n">
        <f aca="false">Assumptions!$B$36</f>
        <v>852.5</v>
      </c>
      <c r="C7" s="33" t="n">
        <f aca="false">B7/$B$9</f>
        <v>0.115101425289585</v>
      </c>
      <c r="D7" s="34" t="n">
        <f aca="false">B7/Assumptions!$B$14</f>
        <v>1.45052017235766</v>
      </c>
    </row>
    <row r="8" customFormat="false" ht="15" hidden="false" customHeight="false" outlineLevel="0" collapsed="false">
      <c r="A8" s="15" t="s">
        <v>91</v>
      </c>
      <c r="B8" s="20" t="n">
        <f aca="false">B16-B5-B6-B7</f>
        <v>4496.99055272</v>
      </c>
      <c r="C8" s="33" t="n">
        <f aca="false">B8/$B$9</f>
        <v>0.607167181386357</v>
      </c>
      <c r="D8" s="34" t="n">
        <f aca="false">B8/Assumptions!$B$14</f>
        <v>7.65158417785596</v>
      </c>
    </row>
    <row r="9" customFormat="false" ht="15" hidden="false" customHeight="false" outlineLevel="0" collapsed="false">
      <c r="A9" s="32" t="s">
        <v>92</v>
      </c>
      <c r="B9" s="35" t="n">
        <f aca="false">SUM(B5:B8)</f>
        <v>7406.51123872</v>
      </c>
      <c r="C9" s="33" t="n">
        <f aca="false">B9/$B$9</f>
        <v>1</v>
      </c>
      <c r="D9" s="34" t="n">
        <f aca="false">B9/Assumptions!$B$14</f>
        <v>12.6021043502136</v>
      </c>
    </row>
    <row r="11" customFormat="false" ht="15" hidden="false" customHeight="false" outlineLevel="0" collapsed="false">
      <c r="A11" s="32" t="s">
        <v>93</v>
      </c>
      <c r="B11" s="29" t="s">
        <v>84</v>
      </c>
      <c r="C11" s="29" t="s">
        <v>86</v>
      </c>
      <c r="D11" s="29" t="s">
        <v>87</v>
      </c>
    </row>
    <row r="12" customFormat="false" ht="15" hidden="false" customHeight="false" outlineLevel="0" collapsed="false">
      <c r="A12" s="15" t="s">
        <v>94</v>
      </c>
      <c r="B12" s="24" t="n">
        <f aca="false">Assumptions!$B$9</f>
        <v>6759.155</v>
      </c>
      <c r="C12" s="33" t="n">
        <f aca="false">B12/$B$16</f>
        <v>0.912596333434866</v>
      </c>
      <c r="D12" s="34" t="n">
        <f aca="false">B12/Assumptions!$B$14</f>
        <v>11.5006342235685</v>
      </c>
    </row>
    <row r="13" customFormat="false" ht="15" hidden="false" customHeight="false" outlineLevel="0" collapsed="false">
      <c r="A13" s="15" t="s">
        <v>95</v>
      </c>
      <c r="B13" s="24" t="n">
        <f aca="false">Assumptions!$B$10</f>
        <v>514.4</v>
      </c>
      <c r="C13" s="33" t="n">
        <f aca="false">B13/$B$16</f>
        <v>0.0694524025442374</v>
      </c>
      <c r="D13" s="34" t="n">
        <f aca="false">B13/Assumptions!$B$14</f>
        <v>0.875246424235522</v>
      </c>
    </row>
    <row r="14" customFormat="false" ht="15" hidden="false" customHeight="false" outlineLevel="0" collapsed="false">
      <c r="A14" s="15" t="s">
        <v>96</v>
      </c>
      <c r="B14" s="24" t="n">
        <f aca="false">Assumptions!$B$33*Assumptions!$B$27</f>
        <v>41.14041372</v>
      </c>
      <c r="C14" s="33" t="n">
        <f aca="false">B14/$B$16</f>
        <v>0.00555462786648116</v>
      </c>
      <c r="D14" s="34" t="n">
        <f aca="false">B14/Assumptions!$B$14</f>
        <v>0.07</v>
      </c>
    </row>
    <row r="15" customFormat="false" ht="15" hidden="false" customHeight="false" outlineLevel="0" collapsed="false">
      <c r="A15" s="15" t="s">
        <v>97</v>
      </c>
      <c r="B15" s="24" t="n">
        <f aca="false">Assumptions!$B$34*Assumptions!$B$12</f>
        <v>91.815825</v>
      </c>
      <c r="C15" s="33" t="n">
        <f aca="false">B15/$B$16</f>
        <v>0.0123966361544154</v>
      </c>
      <c r="D15" s="34" t="n">
        <f aca="false">B15/Assumptions!$B$14</f>
        <v>0.156223702409573</v>
      </c>
    </row>
    <row r="16" customFormat="false" ht="15" hidden="false" customHeight="false" outlineLevel="0" collapsed="false">
      <c r="A16" s="32" t="s">
        <v>98</v>
      </c>
      <c r="B16" s="35" t="n">
        <f aca="false">SUM(B12:B15)</f>
        <v>7406.51123872</v>
      </c>
      <c r="C16" s="33" t="n">
        <f aca="false">B16/$B$16</f>
        <v>1</v>
      </c>
      <c r="D16" s="34" t="n">
        <f aca="false">B16/Assumptions!$B$14</f>
        <v>12.6021043502136</v>
      </c>
    </row>
    <row r="18" customFormat="false" ht="15" hidden="false" customHeight="false" outlineLevel="0" collapsed="false">
      <c r="A18" s="5" t="s">
        <v>99</v>
      </c>
      <c r="B18" s="20" t="n">
        <f aca="false">B9-B16</f>
        <v>0</v>
      </c>
    </row>
    <row r="20" customFormat="false" ht="15" hidden="false" customHeight="false" outlineLevel="0" collapsed="false">
      <c r="A20" s="13" t="s">
        <v>100</v>
      </c>
      <c r="B20" s="14"/>
      <c r="C20" s="14"/>
      <c r="D20" s="14"/>
    </row>
    <row r="21" customFormat="false" ht="15" hidden="false" customHeight="false" outlineLevel="0" collapsed="false">
      <c r="A21" s="15" t="s">
        <v>13</v>
      </c>
      <c r="B21" s="36" t="n">
        <f aca="false">Assumptions!$B$7</f>
        <v>1368.25</v>
      </c>
    </row>
    <row r="22" customFormat="false" ht="15" hidden="false" customHeight="false" outlineLevel="0" collapsed="false">
      <c r="A22" s="15" t="s">
        <v>101</v>
      </c>
      <c r="B22" s="37" t="n">
        <f aca="false">Assumptions!$B$6</f>
        <v>0.3</v>
      </c>
    </row>
    <row r="23" customFormat="false" ht="15" hidden="false" customHeight="false" outlineLevel="0" collapsed="false">
      <c r="A23" s="15" t="s">
        <v>14</v>
      </c>
      <c r="B23" s="24" t="n">
        <f aca="false">Assumptions!$B$12</f>
        <v>6121.055</v>
      </c>
    </row>
    <row r="24" customFormat="false" ht="15" hidden="false" customHeight="false" outlineLevel="0" collapsed="false">
      <c r="A24" s="15" t="s">
        <v>102</v>
      </c>
      <c r="B24" s="34" t="n">
        <f aca="false">Assumptions!$B$15</f>
        <v>11.9112164081807</v>
      </c>
    </row>
    <row r="25" customFormat="false" ht="15" hidden="false" customHeight="false" outlineLevel="0" collapsed="false">
      <c r="A25" s="15" t="s">
        <v>15</v>
      </c>
      <c r="B25" s="34" t="n">
        <f aca="false">Assumptions!$B$16</f>
        <v>10.4149134939715</v>
      </c>
    </row>
    <row r="26" customFormat="false" ht="15" hidden="false" customHeight="false" outlineLevel="0" collapsed="false">
      <c r="A26" s="15" t="s">
        <v>16</v>
      </c>
      <c r="B26" s="34" t="n">
        <f aca="false">Assumptions!$B$28</f>
        <v>3.5</v>
      </c>
    </row>
    <row r="27" customFormat="false" ht="15" hidden="false" customHeight="false" outlineLevel="0" collapsed="false">
      <c r="A27" s="15" t="s">
        <v>103</v>
      </c>
      <c r="B27" s="33" t="n">
        <f aca="false">C8</f>
        <v>0.607167181386357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3"/>
    <col collapsed="false" customWidth="true" hidden="false" outlineLevel="0" max="3" min="3" style="0" width="16"/>
    <col collapsed="false" customWidth="true" hidden="false" outlineLevel="0" max="8" min="4" style="0" width="13"/>
  </cols>
  <sheetData>
    <row r="1" customFormat="false" ht="17.35" hidden="false" customHeight="false" outlineLevel="0" collapsed="false">
      <c r="A1" s="1" t="s">
        <v>104</v>
      </c>
    </row>
    <row r="2" customFormat="false" ht="15" hidden="false" customHeight="false" outlineLevel="0" collapsed="false">
      <c r="A2" s="2" t="s">
        <v>105</v>
      </c>
    </row>
    <row r="4" customFormat="false" ht="15" hidden="false" customHeight="false" outlineLevel="0" collapsed="false">
      <c r="B4" s="29" t="s">
        <v>106</v>
      </c>
      <c r="C4" s="29" t="s">
        <v>107</v>
      </c>
      <c r="D4" s="29" t="s">
        <v>60</v>
      </c>
      <c r="E4" s="29" t="s">
        <v>61</v>
      </c>
      <c r="F4" s="29" t="s">
        <v>62</v>
      </c>
      <c r="G4" s="29" t="s">
        <v>63</v>
      </c>
      <c r="H4" s="29" t="s">
        <v>64</v>
      </c>
    </row>
    <row r="5" customFormat="false" ht="15" hidden="false" customHeight="false" outlineLevel="0" collapsed="false">
      <c r="A5" s="32" t="s">
        <v>108</v>
      </c>
      <c r="B5" s="21" t="n">
        <v>4056.04</v>
      </c>
      <c r="C5" s="24" t="n">
        <f aca="false">B5*(1+Assumptions!$B$19)</f>
        <v>4664.446</v>
      </c>
      <c r="D5" s="24" t="n">
        <f aca="false">C5*(1+Assumptions!D47)</f>
        <v>5084.24614</v>
      </c>
      <c r="E5" s="24" t="n">
        <f aca="false">D5*(1+Assumptions!E47)</f>
        <v>5541.8282926</v>
      </c>
      <c r="F5" s="24" t="n">
        <f aca="false">E5*(1+Assumptions!F47)</f>
        <v>5985.174556008</v>
      </c>
      <c r="G5" s="24" t="n">
        <f aca="false">F5*(1+Assumptions!G47)</f>
        <v>6463.98852048864</v>
      </c>
      <c r="H5" s="24" t="n">
        <f aca="false">G5*(1+Assumptions!H47)</f>
        <v>6916.46771692285</v>
      </c>
    </row>
    <row r="6" customFormat="false" ht="15" hidden="false" customHeight="false" outlineLevel="0" collapsed="false">
      <c r="A6" s="15" t="s">
        <v>109</v>
      </c>
      <c r="C6" s="33" t="n">
        <f aca="false">C5/B5-1</f>
        <v>0.15</v>
      </c>
      <c r="D6" s="33" t="n">
        <f aca="false">D5/C5-1</f>
        <v>0.0900000000000001</v>
      </c>
      <c r="E6" s="33" t="n">
        <f aca="false">E5/D5-1</f>
        <v>0.0900000000000001</v>
      </c>
      <c r="F6" s="33" t="n">
        <f aca="false">F5/E5-1</f>
        <v>0.0800000000000001</v>
      </c>
      <c r="G6" s="33" t="n">
        <f aca="false">G5/F5-1</f>
        <v>0.0800000000000001</v>
      </c>
      <c r="H6" s="33" t="n">
        <f aca="false">H5/G5-1</f>
        <v>0.0700000000000001</v>
      </c>
    </row>
    <row r="7" customFormat="false" ht="15" hidden="false" customHeight="false" outlineLevel="0" collapsed="false">
      <c r="A7" s="32" t="s">
        <v>110</v>
      </c>
      <c r="B7" s="24" t="n">
        <f aca="false">Assumptions!$B$13</f>
        <v>513.89</v>
      </c>
      <c r="C7" s="24" t="n">
        <f aca="false">C5*Assumptions!$B$20</f>
        <v>587.720196</v>
      </c>
      <c r="D7" s="24" t="n">
        <f aca="false">D5*Assumptions!D52</f>
        <v>640.61501364</v>
      </c>
      <c r="E7" s="24" t="n">
        <f aca="false">E5*Assumptions!E52</f>
        <v>703.8121931602</v>
      </c>
      <c r="F7" s="24" t="n">
        <f aca="false">F5*Assumptions!F52</f>
        <v>766.102343169024</v>
      </c>
      <c r="G7" s="24" t="n">
        <f aca="false">G5*Assumptions!G52</f>
        <v>833.854519143035</v>
      </c>
      <c r="H7" s="24" t="n">
        <f aca="false">H5*Assumptions!H52</f>
        <v>899.14080319997</v>
      </c>
    </row>
    <row r="8" customFormat="false" ht="15" hidden="false" customHeight="false" outlineLevel="0" collapsed="false">
      <c r="A8" s="15" t="s">
        <v>111</v>
      </c>
      <c r="B8" s="33" t="n">
        <f aca="false">B7/B5</f>
        <v>0.12669746846678</v>
      </c>
      <c r="C8" s="33" t="n">
        <f aca="false">C7/C5</f>
        <v>0.126</v>
      </c>
      <c r="D8" s="33" t="n">
        <f aca="false">D7/D5</f>
        <v>0.126</v>
      </c>
      <c r="E8" s="33" t="n">
        <f aca="false">E7/E5</f>
        <v>0.127</v>
      </c>
      <c r="F8" s="33" t="n">
        <f aca="false">F7/F5</f>
        <v>0.128</v>
      </c>
      <c r="G8" s="33" t="n">
        <f aca="false">G7/G5</f>
        <v>0.129</v>
      </c>
      <c r="H8" s="33" t="n">
        <f aca="false">H7/H5</f>
        <v>0.13</v>
      </c>
    </row>
    <row r="9" customFormat="false" ht="15" hidden="false" customHeight="false" outlineLevel="0" collapsed="false">
      <c r="A9" s="15" t="s">
        <v>112</v>
      </c>
      <c r="D9" s="24" t="n">
        <f aca="false">D5*Assumptions!D58</f>
        <v>61.01095368</v>
      </c>
      <c r="E9" s="24" t="n">
        <f aca="false">E5*Assumptions!E58</f>
        <v>66.5019395112</v>
      </c>
      <c r="F9" s="24" t="n">
        <f aca="false">F5*Assumptions!F58</f>
        <v>71.822094672096</v>
      </c>
      <c r="G9" s="24" t="n">
        <f aca="false">G5*Assumptions!G58</f>
        <v>77.5678622458637</v>
      </c>
      <c r="H9" s="24" t="n">
        <f aca="false">H5*Assumptions!H58</f>
        <v>82.9976126030742</v>
      </c>
    </row>
    <row r="10" customFormat="false" ht="15" hidden="false" customHeight="false" outlineLevel="0" collapsed="false">
      <c r="A10" s="32" t="s">
        <v>113</v>
      </c>
      <c r="D10" s="23" t="n">
        <f aca="false">D7-D9</f>
        <v>579.60405996</v>
      </c>
      <c r="E10" s="23" t="n">
        <f aca="false">E7-E9</f>
        <v>637.310253649</v>
      </c>
      <c r="F10" s="23" t="n">
        <f aca="false">F7-F9</f>
        <v>694.280248496928</v>
      </c>
      <c r="G10" s="23" t="n">
        <f aca="false">G7-G9</f>
        <v>756.286656897171</v>
      </c>
      <c r="H10" s="23" t="n">
        <f aca="false">H7-H9</f>
        <v>816.143190596896</v>
      </c>
    </row>
    <row r="11" customFormat="false" ht="15" hidden="false" customHeight="false" outlineLevel="0" collapsed="false">
      <c r="A11" s="15" t="s">
        <v>114</v>
      </c>
      <c r="D11" s="24" t="n">
        <f aca="false">D5*Assumptions!D54</f>
        <v>61.01095368</v>
      </c>
      <c r="E11" s="24" t="n">
        <f aca="false">E5*Assumptions!E54</f>
        <v>66.5019395112</v>
      </c>
      <c r="F11" s="24" t="n">
        <f aca="false">F5*Assumptions!F54</f>
        <v>71.822094672096</v>
      </c>
      <c r="G11" s="24" t="n">
        <f aca="false">G5*Assumptions!G54</f>
        <v>77.5678622458637</v>
      </c>
      <c r="H11" s="24" t="n">
        <f aca="false">H5*Assumptions!H54</f>
        <v>82.9976126030742</v>
      </c>
    </row>
    <row r="12" customFormat="false" ht="15" hidden="false" customHeight="false" outlineLevel="0" collapsed="false">
      <c r="A12" s="15" t="s">
        <v>115</v>
      </c>
      <c r="D12" s="24" t="n">
        <f aca="false">Assumptions!D57</f>
        <v>15</v>
      </c>
      <c r="E12" s="24" t="n">
        <f aca="false">Assumptions!E57</f>
        <v>10</v>
      </c>
      <c r="F12" s="24" t="n">
        <f aca="false">Assumptions!F57</f>
        <v>0</v>
      </c>
      <c r="G12" s="24" t="n">
        <f aca="false">Assumptions!G57</f>
        <v>0</v>
      </c>
      <c r="H12" s="24" t="n">
        <f aca="false">Assumptions!H57</f>
        <v>0</v>
      </c>
    </row>
    <row r="13" customFormat="false" ht="15" hidden="false" customHeight="false" outlineLevel="0" collapsed="false">
      <c r="A13" s="32" t="s">
        <v>116</v>
      </c>
      <c r="D13" s="23" t="n">
        <f aca="false">D10-D11-D12</f>
        <v>503.59310628</v>
      </c>
      <c r="E13" s="23" t="n">
        <f aca="false">E10-E11-E12</f>
        <v>560.8083141378</v>
      </c>
      <c r="F13" s="23" t="n">
        <f aca="false">F10-F11-F12</f>
        <v>622.458153824832</v>
      </c>
      <c r="G13" s="23" t="n">
        <f aca="false">G10-G11-G12</f>
        <v>678.718794651307</v>
      </c>
      <c r="H13" s="23" t="n">
        <f aca="false">H10-H11-H12</f>
        <v>733.145577993822</v>
      </c>
    </row>
    <row r="14" customFormat="false" ht="15" hidden="false" customHeight="false" outlineLevel="0" collapsed="false">
      <c r="A14" s="15" t="s">
        <v>117</v>
      </c>
      <c r="D14" s="24" t="n">
        <f aca="false">D32*Assumptions!$B$29</f>
        <v>154.27655145</v>
      </c>
      <c r="E14" s="24" t="n">
        <f aca="false">E32*Assumptions!$B$29</f>
        <v>137.196495800076</v>
      </c>
      <c r="F14" s="24" t="n">
        <f aca="false">F32*Assumptions!$B$29</f>
        <v>114.692411011342</v>
      </c>
      <c r="G14" s="24" t="n">
        <f aca="false">G32*Assumptions!$B$29</f>
        <v>85.5497473917622</v>
      </c>
      <c r="H14" s="24" t="n">
        <f aca="false">H32*Assumptions!$B$29</f>
        <v>50.0952976584506</v>
      </c>
    </row>
    <row r="15" customFormat="false" ht="15" hidden="false" customHeight="false" outlineLevel="0" collapsed="false">
      <c r="A15" s="15" t="s">
        <v>118</v>
      </c>
      <c r="D15" s="24" t="n">
        <f aca="false">C36*Assumptions!$B$30</f>
        <v>73.4650245</v>
      </c>
      <c r="E15" s="24" t="n">
        <f aca="false">D36*Assumptions!$B$30</f>
        <v>73.4650245</v>
      </c>
      <c r="F15" s="24" t="n">
        <f aca="false">E36*Assumptions!$B$30</f>
        <v>73.4650245</v>
      </c>
      <c r="G15" s="24" t="n">
        <f aca="false">F36*Assumptions!$B$30</f>
        <v>73.4650245</v>
      </c>
      <c r="H15" s="24" t="n">
        <f aca="false">G36*Assumptions!$B$30</f>
        <v>73.4650245</v>
      </c>
    </row>
    <row r="16" customFormat="false" ht="15" hidden="false" customHeight="false" outlineLevel="0" collapsed="false">
      <c r="A16" s="15" t="s">
        <v>119</v>
      </c>
      <c r="D16" s="20" t="n">
        <f aca="false">D14+D15</f>
        <v>227.74157595</v>
      </c>
      <c r="E16" s="20" t="n">
        <f aca="false">E14+E15</f>
        <v>210.661520300076</v>
      </c>
      <c r="F16" s="20" t="n">
        <f aca="false">F14+F15</f>
        <v>188.157435511342</v>
      </c>
      <c r="G16" s="20" t="n">
        <f aca="false">G14+G15</f>
        <v>159.014771891762</v>
      </c>
      <c r="H16" s="20" t="n">
        <f aca="false">H14+H15</f>
        <v>123.560322158451</v>
      </c>
    </row>
    <row r="17" customFormat="false" ht="15" hidden="false" customHeight="false" outlineLevel="0" collapsed="false">
      <c r="A17" s="32" t="s">
        <v>120</v>
      </c>
      <c r="D17" s="23" t="n">
        <f aca="false">D13-D16</f>
        <v>275.85153033</v>
      </c>
      <c r="E17" s="23" t="n">
        <f aca="false">E13-E16</f>
        <v>350.146793837724</v>
      </c>
      <c r="F17" s="23" t="n">
        <f aca="false">F13-F16</f>
        <v>434.30071831349</v>
      </c>
      <c r="G17" s="23" t="n">
        <f aca="false">G13-G16</f>
        <v>519.704022759545</v>
      </c>
      <c r="H17" s="23" t="n">
        <f aca="false">H13-H16</f>
        <v>609.585255835371</v>
      </c>
    </row>
    <row r="18" customFormat="false" ht="15" hidden="false" customHeight="false" outlineLevel="0" collapsed="false">
      <c r="A18" s="15" t="s">
        <v>121</v>
      </c>
      <c r="D18" s="24" t="n">
        <f aca="false">MAX(0,D17)*Assumptions!$B$37</f>
        <v>69.431830184061</v>
      </c>
      <c r="E18" s="24" t="n">
        <f aca="false">MAX(0,E17)*Assumptions!$B$37</f>
        <v>88.131948008955</v>
      </c>
      <c r="F18" s="24" t="n">
        <f aca="false">MAX(0,F17)*Assumptions!$B$37</f>
        <v>109.313490799506</v>
      </c>
      <c r="G18" s="24" t="n">
        <f aca="false">MAX(0,G17)*Assumptions!$B$37</f>
        <v>130.809502528578</v>
      </c>
      <c r="H18" s="24" t="n">
        <f aca="false">MAX(0,H17)*Assumptions!$B$37</f>
        <v>153.432608893763</v>
      </c>
    </row>
    <row r="19" customFormat="false" ht="15" hidden="false" customHeight="false" outlineLevel="0" collapsed="false">
      <c r="A19" s="32" t="s">
        <v>122</v>
      </c>
      <c r="D19" s="35" t="n">
        <f aca="false">D17-D18</f>
        <v>206.419700145939</v>
      </c>
      <c r="E19" s="35" t="n">
        <f aca="false">E17-E18</f>
        <v>262.014845828769</v>
      </c>
      <c r="F19" s="35" t="n">
        <f aca="false">F17-F18</f>
        <v>324.987227513985</v>
      </c>
      <c r="G19" s="35" t="n">
        <f aca="false">G17-G18</f>
        <v>388.894520230968</v>
      </c>
      <c r="H19" s="35" t="n">
        <f aca="false">H17-H18</f>
        <v>456.152646941608</v>
      </c>
    </row>
    <row r="21" customFormat="false" ht="15" hidden="false" customHeight="false" outlineLevel="0" collapsed="false">
      <c r="A21" s="13" t="s">
        <v>123</v>
      </c>
      <c r="B21" s="14"/>
      <c r="C21" s="14"/>
      <c r="D21" s="14"/>
      <c r="E21" s="14"/>
      <c r="F21" s="14"/>
      <c r="G21" s="14"/>
      <c r="H21" s="14"/>
    </row>
    <row r="22" customFormat="false" ht="15" hidden="false" customHeight="false" outlineLevel="0" collapsed="false">
      <c r="A22" s="15" t="s">
        <v>122</v>
      </c>
      <c r="D22" s="20" t="n">
        <f aca="false">D19</f>
        <v>206.419700145939</v>
      </c>
      <c r="E22" s="20" t="n">
        <f aca="false">E19</f>
        <v>262.014845828769</v>
      </c>
      <c r="F22" s="20" t="n">
        <f aca="false">F19</f>
        <v>324.987227513985</v>
      </c>
      <c r="G22" s="20" t="n">
        <f aca="false">G19</f>
        <v>388.894520230968</v>
      </c>
      <c r="H22" s="20" t="n">
        <f aca="false">H19</f>
        <v>456.152646941608</v>
      </c>
    </row>
    <row r="23" customFormat="false" ht="15" hidden="false" customHeight="false" outlineLevel="0" collapsed="false">
      <c r="A23" s="15" t="s">
        <v>124</v>
      </c>
      <c r="D23" s="20" t="n">
        <f aca="false">D11</f>
        <v>61.01095368</v>
      </c>
      <c r="E23" s="20" t="n">
        <f aca="false">E11</f>
        <v>66.5019395112</v>
      </c>
      <c r="F23" s="20" t="n">
        <f aca="false">F11</f>
        <v>71.822094672096</v>
      </c>
      <c r="G23" s="20" t="n">
        <f aca="false">G11</f>
        <v>77.5678622458637</v>
      </c>
      <c r="H23" s="20" t="n">
        <f aca="false">H11</f>
        <v>82.9976126030742</v>
      </c>
    </row>
    <row r="24" customFormat="false" ht="15" hidden="false" customHeight="false" outlineLevel="0" collapsed="false">
      <c r="A24" s="15" t="s">
        <v>125</v>
      </c>
      <c r="D24" s="24" t="n">
        <f aca="false">-D5*Assumptions!D55</f>
        <v>-71.17944596</v>
      </c>
      <c r="E24" s="24" t="n">
        <f aca="false">-E5*Assumptions!E55</f>
        <v>-77.5855960964</v>
      </c>
      <c r="F24" s="24" t="n">
        <f aca="false">-F5*Assumptions!F55</f>
        <v>-83.792443784112</v>
      </c>
      <c r="G24" s="24" t="n">
        <f aca="false">-G5*Assumptions!G55</f>
        <v>-90.495839286841</v>
      </c>
      <c r="H24" s="24" t="n">
        <f aca="false">-H5*Assumptions!H55</f>
        <v>-96.8305480369199</v>
      </c>
    </row>
    <row r="25" customFormat="false" ht="15" hidden="false" customHeight="false" outlineLevel="0" collapsed="false">
      <c r="A25" s="15" t="s">
        <v>126</v>
      </c>
      <c r="D25" s="24" t="n">
        <f aca="false">-(D5-C5)*Assumptions!D56</f>
        <v>-33.5840112</v>
      </c>
      <c r="E25" s="24" t="n">
        <f aca="false">-(E5-D5)*Assumptions!E56</f>
        <v>-36.606572208</v>
      </c>
      <c r="F25" s="24" t="n">
        <f aca="false">-(F5-E5)*Assumptions!F56</f>
        <v>-35.4677010726401</v>
      </c>
      <c r="G25" s="24" t="n">
        <f aca="false">-(G5-F5)*Assumptions!G56</f>
        <v>-38.3051171584512</v>
      </c>
      <c r="H25" s="24" t="n">
        <f aca="false">-(H5-G5)*Assumptions!H56</f>
        <v>-36.1983357147365</v>
      </c>
    </row>
    <row r="26" customFormat="false" ht="15" hidden="false" customHeight="false" outlineLevel="0" collapsed="false">
      <c r="A26" s="22" t="s">
        <v>127</v>
      </c>
      <c r="D26" s="35" t="n">
        <f aca="false">SUM(D22:D25)</f>
        <v>162.667196665939</v>
      </c>
      <c r="E26" s="35" t="n">
        <f aca="false">SUM(E22:E25)</f>
        <v>214.324617035569</v>
      </c>
      <c r="F26" s="35" t="n">
        <f aca="false">SUM(F22:F25)</f>
        <v>277.549177329329</v>
      </c>
      <c r="G26" s="35" t="n">
        <f aca="false">SUM(G22:G25)</f>
        <v>337.661426031539</v>
      </c>
      <c r="H26" s="35" t="n">
        <f aca="false">SUM(H22:H25)</f>
        <v>406.121375793026</v>
      </c>
    </row>
    <row r="27" customFormat="false" ht="15" hidden="false" customHeight="false" outlineLevel="0" collapsed="false">
      <c r="A27" s="15" t="s">
        <v>128</v>
      </c>
      <c r="D27" s="20" t="n">
        <f aca="false">D26+D33+D34</f>
        <v>0</v>
      </c>
      <c r="E27" s="20" t="n">
        <f aca="false">E26+E33+E34</f>
        <v>0</v>
      </c>
      <c r="F27" s="20" t="n">
        <f aca="false">F26+F33+F34</f>
        <v>0</v>
      </c>
      <c r="G27" s="20" t="n">
        <f aca="false">G26+G33+G34</f>
        <v>0</v>
      </c>
      <c r="H27" s="20" t="n">
        <f aca="false">H26+H33+H34</f>
        <v>0</v>
      </c>
    </row>
    <row r="28" customFormat="false" ht="15" hidden="false" customHeight="false" outlineLevel="0" collapsed="false">
      <c r="A28" s="15" t="s">
        <v>129</v>
      </c>
      <c r="D28" s="24" t="n">
        <f aca="false">MAX(0,C38+D26+D33-Assumptions!$B$35)</f>
        <v>89.202172165939</v>
      </c>
      <c r="E28" s="24" t="n">
        <f aca="false">MAX(0,D38+E26+E33-Assumptions!$B$35)</f>
        <v>140.859592535569</v>
      </c>
      <c r="F28" s="24" t="n">
        <f aca="false">MAX(0,E38+F26+F33-Assumptions!$B$35)</f>
        <v>204.084152829329</v>
      </c>
      <c r="G28" s="24" t="n">
        <f aca="false">MAX(0,F38+G26+G33-Assumptions!$B$35)</f>
        <v>264.196401531539</v>
      </c>
      <c r="H28" s="24" t="n">
        <f aca="false">MAX(0,G38+H26+H33-Assumptions!$B$35)</f>
        <v>332.656351293026</v>
      </c>
    </row>
    <row r="29" customFormat="false" ht="15" hidden="false" customHeight="false" outlineLevel="0" collapsed="false">
      <c r="A29" s="15" t="s">
        <v>130</v>
      </c>
      <c r="D29" s="33" t="n">
        <f aca="false">D26/D7</f>
        <v>0.25392348478013</v>
      </c>
      <c r="E29" s="33" t="n">
        <f aca="false">E26/E7</f>
        <v>0.304519613496927</v>
      </c>
      <c r="F29" s="33" t="n">
        <f aca="false">F26/F7</f>
        <v>0.36228733641674</v>
      </c>
      <c r="G29" s="33" t="n">
        <f aca="false">G26/G7</f>
        <v>0.404940452176909</v>
      </c>
      <c r="H29" s="33" t="n">
        <f aca="false">H26/H7</f>
        <v>0.451677172638226</v>
      </c>
    </row>
    <row r="31" customFormat="false" ht="15" hidden="false" customHeight="false" outlineLevel="0" collapsed="false">
      <c r="A31" s="13" t="s">
        <v>131</v>
      </c>
      <c r="B31" s="14"/>
      <c r="C31" s="14"/>
      <c r="D31" s="14"/>
      <c r="E31" s="14"/>
      <c r="F31" s="14"/>
      <c r="G31" s="14"/>
      <c r="H31" s="14"/>
    </row>
    <row r="32" customFormat="false" ht="15" hidden="false" customHeight="false" outlineLevel="0" collapsed="false">
      <c r="A32" s="15" t="s">
        <v>132</v>
      </c>
      <c r="D32" s="20" t="n">
        <f aca="false">C35</f>
        <v>1469.30049</v>
      </c>
      <c r="E32" s="20" t="n">
        <f aca="false">D35</f>
        <v>1306.63329333406</v>
      </c>
      <c r="F32" s="20" t="n">
        <f aca="false">E35</f>
        <v>1092.30867629849</v>
      </c>
      <c r="G32" s="20" t="n">
        <f aca="false">F35</f>
        <v>814.759498969164</v>
      </c>
      <c r="H32" s="20" t="n">
        <f aca="false">G35</f>
        <v>477.098072937625</v>
      </c>
    </row>
    <row r="33" customFormat="false" ht="15" hidden="false" customHeight="false" outlineLevel="0" collapsed="false">
      <c r="A33" s="15" t="s">
        <v>133</v>
      </c>
      <c r="D33" s="24" t="n">
        <f aca="false">-MIN(D32,Assumptions!$B$31*Assumptions!$B$25)</f>
        <v>-73.4650245</v>
      </c>
      <c r="E33" s="24" t="n">
        <f aca="false">-MIN(E32,Assumptions!$B$31*Assumptions!$B$25)</f>
        <v>-73.4650245</v>
      </c>
      <c r="F33" s="24" t="n">
        <f aca="false">-MIN(F32,Assumptions!$B$31*Assumptions!$B$25)</f>
        <v>-73.4650245</v>
      </c>
      <c r="G33" s="24" t="n">
        <f aca="false">-MIN(G32,Assumptions!$B$31*Assumptions!$B$25)</f>
        <v>-73.4650245</v>
      </c>
      <c r="H33" s="24" t="n">
        <f aca="false">-MIN(H32,Assumptions!$B$31*Assumptions!$B$25)</f>
        <v>-73.4650245</v>
      </c>
    </row>
    <row r="34" customFormat="false" ht="15" hidden="false" customHeight="false" outlineLevel="0" collapsed="false">
      <c r="A34" s="15" t="s">
        <v>134</v>
      </c>
      <c r="D34" s="24" t="n">
        <f aca="false">-MIN(D32+D33,Assumptions!$B$32*D28)</f>
        <v>-89.202172165939</v>
      </c>
      <c r="E34" s="24" t="n">
        <f aca="false">-MIN(E32+E33,Assumptions!$B$32*E28)</f>
        <v>-140.859592535569</v>
      </c>
      <c r="F34" s="24" t="n">
        <f aca="false">-MIN(F32+F33,Assumptions!$B$32*F28)</f>
        <v>-204.084152829329</v>
      </c>
      <c r="G34" s="24" t="n">
        <f aca="false">-MIN(G32+G33,Assumptions!$B$32*G28)</f>
        <v>-264.196401531539</v>
      </c>
      <c r="H34" s="24" t="n">
        <f aca="false">-MIN(H32+H33,Assumptions!$B$32*H28)</f>
        <v>-332.656351293026</v>
      </c>
    </row>
    <row r="35" customFormat="false" ht="15" hidden="false" customHeight="false" outlineLevel="0" collapsed="false">
      <c r="A35" s="22" t="s">
        <v>135</v>
      </c>
      <c r="C35" s="38" t="n">
        <f aca="false">Assumptions!$B$25</f>
        <v>1469.30049</v>
      </c>
      <c r="D35" s="23" t="n">
        <f aca="false">D32+D33+D34</f>
        <v>1306.63329333406</v>
      </c>
      <c r="E35" s="23" t="n">
        <f aca="false">E32+E33+E34</f>
        <v>1092.30867629849</v>
      </c>
      <c r="F35" s="23" t="n">
        <f aca="false">F32+F33+F34</f>
        <v>814.759498969164</v>
      </c>
      <c r="G35" s="23" t="n">
        <f aca="false">G32+G33+G34</f>
        <v>477.098072937625</v>
      </c>
      <c r="H35" s="23" t="n">
        <f aca="false">H32+H33+H34</f>
        <v>70.9766971445987</v>
      </c>
    </row>
    <row r="36" customFormat="false" ht="15" hidden="false" customHeight="false" outlineLevel="0" collapsed="false">
      <c r="A36" s="15" t="s">
        <v>136</v>
      </c>
      <c r="C36" s="24" t="n">
        <f aca="false">Assumptions!$B$26</f>
        <v>587.720196</v>
      </c>
      <c r="D36" s="20" t="n">
        <f aca="false">C36</f>
        <v>587.720196</v>
      </c>
      <c r="E36" s="20" t="n">
        <f aca="false">D36</f>
        <v>587.720196</v>
      </c>
      <c r="F36" s="20" t="n">
        <f aca="false">E36</f>
        <v>587.720196</v>
      </c>
      <c r="G36" s="20" t="n">
        <f aca="false">F36</f>
        <v>587.720196</v>
      </c>
      <c r="H36" s="20" t="n">
        <f aca="false">G36</f>
        <v>587.720196</v>
      </c>
    </row>
    <row r="37" customFormat="false" ht="15" hidden="false" customHeight="false" outlineLevel="0" collapsed="false">
      <c r="A37" s="22" t="s">
        <v>137</v>
      </c>
      <c r="C37" s="23" t="n">
        <f aca="false">C35+C36</f>
        <v>2057.020686</v>
      </c>
      <c r="D37" s="23" t="n">
        <f aca="false">D35+D36</f>
        <v>1894.35348933406</v>
      </c>
      <c r="E37" s="23" t="n">
        <f aca="false">E35+E36</f>
        <v>1680.02887229849</v>
      </c>
      <c r="F37" s="23" t="n">
        <f aca="false">F35+F36</f>
        <v>1402.47969496916</v>
      </c>
      <c r="G37" s="23" t="n">
        <f aca="false">G35+G36</f>
        <v>1064.81826893762</v>
      </c>
      <c r="H37" s="23" t="n">
        <f aca="false">H35+H36</f>
        <v>658.696893144599</v>
      </c>
    </row>
    <row r="38" customFormat="false" ht="15" hidden="false" customHeight="false" outlineLevel="0" collapsed="false">
      <c r="A38" s="15" t="s">
        <v>138</v>
      </c>
      <c r="C38" s="24" t="n">
        <f aca="false">Assumptions!$B$11-Assumptions!$B$36</f>
        <v>300</v>
      </c>
      <c r="D38" s="20" t="n">
        <f aca="false">C38+D27</f>
        <v>300</v>
      </c>
      <c r="E38" s="20" t="n">
        <f aca="false">D38+E27</f>
        <v>300</v>
      </c>
      <c r="F38" s="20" t="n">
        <f aca="false">E38+F27</f>
        <v>300</v>
      </c>
      <c r="G38" s="20" t="n">
        <f aca="false">F38+G27</f>
        <v>300</v>
      </c>
      <c r="H38" s="20" t="n">
        <f aca="false">G38+H27</f>
        <v>300</v>
      </c>
    </row>
    <row r="39" customFormat="false" ht="15" hidden="false" customHeight="false" outlineLevel="0" collapsed="false">
      <c r="A39" s="22" t="s">
        <v>139</v>
      </c>
      <c r="C39" s="23" t="n">
        <f aca="false">C37-C38</f>
        <v>1757.020686</v>
      </c>
      <c r="D39" s="23" t="n">
        <f aca="false">D37-D38</f>
        <v>1594.35348933406</v>
      </c>
      <c r="E39" s="23" t="n">
        <f aca="false">E37-E38</f>
        <v>1380.02887229849</v>
      </c>
      <c r="F39" s="23" t="n">
        <f aca="false">F37-F38</f>
        <v>1102.47969496916</v>
      </c>
      <c r="G39" s="23" t="n">
        <f aca="false">G37-G38</f>
        <v>764.818268937625</v>
      </c>
      <c r="H39" s="23" t="n">
        <f aca="false">H37-H38</f>
        <v>358.696893144599</v>
      </c>
    </row>
    <row r="41" customFormat="false" ht="15" hidden="false" customHeight="false" outlineLevel="0" collapsed="false">
      <c r="A41" s="13" t="s">
        <v>140</v>
      </c>
      <c r="B41" s="14"/>
      <c r="C41" s="14"/>
      <c r="D41" s="14"/>
      <c r="E41" s="14"/>
      <c r="F41" s="14"/>
      <c r="G41" s="14"/>
      <c r="H41" s="14"/>
    </row>
    <row r="42" customFormat="false" ht="15" hidden="false" customHeight="false" outlineLevel="0" collapsed="false">
      <c r="A42" s="15" t="s">
        <v>141</v>
      </c>
      <c r="C42" s="25" t="n">
        <f aca="false">C37/C7</f>
        <v>3.5</v>
      </c>
      <c r="D42" s="25" t="n">
        <f aca="false">D37/D7</f>
        <v>2.9570856895318</v>
      </c>
      <c r="E42" s="25" t="n">
        <f aca="false">E37/E7</f>
        <v>2.38704144177293</v>
      </c>
      <c r="F42" s="25" t="n">
        <f aca="false">F37/F7</f>
        <v>1.83066884923982</v>
      </c>
      <c r="G42" s="25" t="n">
        <f aca="false">G37/G7</f>
        <v>1.27698326805491</v>
      </c>
      <c r="H42" s="25" t="n">
        <f aca="false">H37/H7</f>
        <v>0.73258480851981</v>
      </c>
    </row>
    <row r="43" customFormat="false" ht="15" hidden="false" customHeight="false" outlineLevel="0" collapsed="false">
      <c r="A43" s="15" t="s">
        <v>142</v>
      </c>
      <c r="C43" s="25" t="n">
        <f aca="false">C39/C7</f>
        <v>2.98955301852516</v>
      </c>
      <c r="D43" s="25" t="n">
        <f aca="false">D39/D7</f>
        <v>2.48878570652736</v>
      </c>
      <c r="E43" s="25" t="n">
        <f aca="false">E39/E7</f>
        <v>1.96079136694407</v>
      </c>
      <c r="F43" s="25" t="n">
        <f aca="false">F39/F7</f>
        <v>1.4390762602405</v>
      </c>
      <c r="G43" s="25" t="n">
        <f aca="false">G39/G7</f>
        <v>0.91720827959731</v>
      </c>
      <c r="H43" s="25" t="n">
        <f aca="false">H39/H7</f>
        <v>0.398932950065246</v>
      </c>
    </row>
    <row r="44" customFormat="false" ht="15" hidden="false" customHeight="false" outlineLevel="0" collapsed="false">
      <c r="A44" s="15" t="s">
        <v>143</v>
      </c>
      <c r="D44" s="25" t="n">
        <f aca="false">D7/D16</f>
        <v>2.81290322580645</v>
      </c>
      <c r="E44" s="25" t="n">
        <f aca="false">E7/E16</f>
        <v>3.34096227995344</v>
      </c>
      <c r="F44" s="25" t="n">
        <f aca="false">F7/F16</f>
        <v>4.07160281009913</v>
      </c>
      <c r="G44" s="25" t="n">
        <f aca="false">G7/G16</f>
        <v>5.24388086228002</v>
      </c>
      <c r="H44" s="25" t="n">
        <f aca="false">H7/H16</f>
        <v>7.27693799670525</v>
      </c>
    </row>
    <row r="45" customFormat="false" ht="15" hidden="false" customHeight="false" outlineLevel="0" collapsed="false">
      <c r="A45" s="15" t="s">
        <v>144</v>
      </c>
      <c r="D45" s="25" t="n">
        <f aca="false">(D10+D24)/D16</f>
        <v>2.23246287762417</v>
      </c>
      <c r="E45" s="25" t="n">
        <f aca="false">(E10+E24)/E16</f>
        <v>2.65698575019919</v>
      </c>
      <c r="F45" s="25" t="n">
        <f aca="false">(F10+F24)/F16</f>
        <v>3.24455848929774</v>
      </c>
      <c r="G45" s="25" t="n">
        <f aca="false">(G10+G24)/G16</f>
        <v>4.18697464197552</v>
      </c>
      <c r="H45" s="25" t="n">
        <f aca="false">(H10+H24)/H16</f>
        <v>5.8215503973642</v>
      </c>
    </row>
    <row r="46" customFormat="false" ht="15" hidden="false" customHeight="false" outlineLevel="0" collapsed="false">
      <c r="A46" s="15" t="s">
        <v>145</v>
      </c>
      <c r="D46" s="20" t="n">
        <f aca="false">$C$37-D37</f>
        <v>162.667196665939</v>
      </c>
      <c r="E46" s="20" t="n">
        <f aca="false">$C$37-E37</f>
        <v>376.991813701507</v>
      </c>
      <c r="F46" s="20" t="n">
        <f aca="false">$C$37-F37</f>
        <v>654.540991030836</v>
      </c>
      <c r="G46" s="20" t="n">
        <f aca="false">$C$37-G37</f>
        <v>992.202417062375</v>
      </c>
      <c r="H46" s="20" t="n">
        <f aca="false">$C$37-H37</f>
        <v>1398.3237928554</v>
      </c>
    </row>
    <row r="47" customFormat="false" ht="15" hidden="false" customHeight="false" outlineLevel="0" collapsed="false">
      <c r="A47" s="15" t="s">
        <v>146</v>
      </c>
      <c r="D47" s="6" t="str">
        <f aca="false">IF(D38&gt;=Assumptions!$B$35-0.001,"OK","SHORTFALL")</f>
        <v>OK</v>
      </c>
      <c r="E47" s="6" t="str">
        <f aca="false">IF(E38&gt;=Assumptions!$B$35-0.001,"OK","SHORTFALL")</f>
        <v>OK</v>
      </c>
      <c r="F47" s="6" t="str">
        <f aca="false">IF(F38&gt;=Assumptions!$B$35-0.001,"OK","SHORTFALL")</f>
        <v>OK</v>
      </c>
      <c r="G47" s="6" t="str">
        <f aca="false">IF(G38&gt;=Assumptions!$B$35-0.001,"OK","SHORTFALL")</f>
        <v>OK</v>
      </c>
      <c r="H47" s="6" t="str">
        <f aca="false">IF(H38&gt;=Assumptions!$B$35-0.001,"OK","SHORTFALL")</f>
        <v>OK</v>
      </c>
    </row>
    <row r="49" customFormat="false" ht="43.5" hidden="false" customHeight="true" outlineLevel="0" collapsed="false">
      <c r="A49" s="31" t="s">
        <v>147</v>
      </c>
      <c r="B49" s="31"/>
      <c r="C49" s="31"/>
      <c r="D49" s="31"/>
      <c r="E49" s="31"/>
      <c r="F49" s="31"/>
      <c r="G49" s="31"/>
      <c r="H49" s="31"/>
    </row>
  </sheetData>
  <mergeCells count="1">
    <mergeCell ref="A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7" min="2" style="0" width="13"/>
  </cols>
  <sheetData>
    <row r="1" customFormat="false" ht="17.35" hidden="false" customHeight="false" outlineLevel="0" collapsed="false">
      <c r="A1" s="1" t="s">
        <v>148</v>
      </c>
    </row>
    <row r="2" customFormat="false" ht="15" hidden="false" customHeight="false" outlineLevel="0" collapsed="false">
      <c r="A2" s="2" t="s">
        <v>149</v>
      </c>
    </row>
    <row r="4" customFormat="false" ht="15" hidden="false" customHeight="false" outlineLevel="0" collapsed="false">
      <c r="A4" s="32" t="s">
        <v>150</v>
      </c>
      <c r="B4" s="29" t="s">
        <v>62</v>
      </c>
      <c r="C4" s="29" t="s">
        <v>63</v>
      </c>
      <c r="D4" s="29" t="s">
        <v>64</v>
      </c>
    </row>
    <row r="5" customFormat="false" ht="15" hidden="false" customHeight="false" outlineLevel="0" collapsed="false">
      <c r="A5" s="15" t="s">
        <v>151</v>
      </c>
      <c r="B5" s="39" t="n">
        <v>3</v>
      </c>
      <c r="C5" s="39" t="n">
        <v>4</v>
      </c>
      <c r="D5" s="39" t="n">
        <v>5</v>
      </c>
    </row>
    <row r="6" customFormat="false" ht="15" hidden="false" customHeight="false" outlineLevel="0" collapsed="false">
      <c r="A6" s="15" t="s">
        <v>152</v>
      </c>
      <c r="B6" s="24" t="n">
        <f aca="false">INDEX('LBO Model'!$D$7:$H$7,B5)</f>
        <v>766.102343169024</v>
      </c>
      <c r="C6" s="24" t="n">
        <f aca="false">INDEX('LBO Model'!$D$7:$H$7,C5)</f>
        <v>833.854519143035</v>
      </c>
      <c r="D6" s="24" t="n">
        <f aca="false">INDEX('LBO Model'!$D$7:$H$7,D5)</f>
        <v>899.14080319997</v>
      </c>
    </row>
    <row r="7" customFormat="false" ht="15" hidden="false" customHeight="false" outlineLevel="0" collapsed="false">
      <c r="A7" s="15" t="s">
        <v>153</v>
      </c>
      <c r="B7" s="34" t="n">
        <f aca="false">Assumptions!$B$61</f>
        <v>10</v>
      </c>
      <c r="C7" s="34" t="n">
        <f aca="false">Assumptions!$B$61</f>
        <v>10</v>
      </c>
      <c r="D7" s="34" t="n">
        <f aca="false">Assumptions!$B$61</f>
        <v>10</v>
      </c>
    </row>
    <row r="8" customFormat="false" ht="15" hidden="false" customHeight="false" outlineLevel="0" collapsed="false">
      <c r="A8" s="22" t="s">
        <v>154</v>
      </c>
      <c r="B8" s="23" t="n">
        <f aca="false">B6*B7</f>
        <v>7661.02343169024</v>
      </c>
      <c r="C8" s="23" t="n">
        <f aca="false">C6*C7</f>
        <v>8338.54519143035</v>
      </c>
      <c r="D8" s="23" t="n">
        <f aca="false">D6*D7</f>
        <v>8991.4080319997</v>
      </c>
    </row>
    <row r="9" customFormat="false" ht="15" hidden="false" customHeight="false" outlineLevel="0" collapsed="false">
      <c r="A9" s="15" t="s">
        <v>155</v>
      </c>
      <c r="B9" s="24" t="n">
        <f aca="false">-INDEX('LBO Model'!$D$37:$H$37,B5)</f>
        <v>-1402.47969496916</v>
      </c>
      <c r="C9" s="24" t="n">
        <f aca="false">-INDEX('LBO Model'!$D$37:$H$37,C5)</f>
        <v>-1064.81826893762</v>
      </c>
      <c r="D9" s="24" t="n">
        <f aca="false">-INDEX('LBO Model'!$D$37:$H$37,D5)</f>
        <v>-658.696893144599</v>
      </c>
    </row>
    <row r="10" customFormat="false" ht="15" hidden="false" customHeight="false" outlineLevel="0" collapsed="false">
      <c r="A10" s="15" t="s">
        <v>156</v>
      </c>
      <c r="B10" s="24" t="n">
        <f aca="false">INDEX('LBO Model'!$D$38:$H$38,B5)</f>
        <v>300</v>
      </c>
      <c r="C10" s="24" t="n">
        <f aca="false">INDEX('LBO Model'!$D$38:$H$38,C5)</f>
        <v>300</v>
      </c>
      <c r="D10" s="24" t="n">
        <f aca="false">INDEX('LBO Model'!$D$38:$H$38,D5)</f>
        <v>300</v>
      </c>
    </row>
    <row r="11" customFormat="false" ht="15" hidden="false" customHeight="false" outlineLevel="0" collapsed="false">
      <c r="A11" s="22" t="s">
        <v>157</v>
      </c>
      <c r="B11" s="35" t="n">
        <f aca="false">SUM(B8:B10)</f>
        <v>6558.54373672108</v>
      </c>
      <c r="C11" s="35" t="n">
        <f aca="false">SUM(C8:C10)</f>
        <v>7573.72692249272</v>
      </c>
      <c r="D11" s="35" t="n">
        <f aca="false">SUM(D8:D10)</f>
        <v>8632.7111388551</v>
      </c>
    </row>
    <row r="12" customFormat="false" ht="15" hidden="false" customHeight="false" outlineLevel="0" collapsed="false">
      <c r="A12" s="15" t="s">
        <v>158</v>
      </c>
      <c r="B12" s="24" t="n">
        <f aca="false">Transaction!$B$8</f>
        <v>4496.99055272</v>
      </c>
      <c r="C12" s="24" t="n">
        <f aca="false">Transaction!$B$8</f>
        <v>4496.99055272</v>
      </c>
      <c r="D12" s="24" t="n">
        <f aca="false">Transaction!$B$8</f>
        <v>4496.99055272</v>
      </c>
    </row>
    <row r="13" customFormat="false" ht="15" hidden="false" customHeight="false" outlineLevel="0" collapsed="false">
      <c r="A13" s="22" t="s">
        <v>159</v>
      </c>
      <c r="B13" s="40" t="n">
        <f aca="false">B11/B12</f>
        <v>1.45842951187748</v>
      </c>
      <c r="C13" s="40" t="n">
        <f aca="false">C11/C12</f>
        <v>1.6841767474721</v>
      </c>
      <c r="D13" s="40" t="n">
        <f aca="false">D11/D12</f>
        <v>1.91966405925261</v>
      </c>
    </row>
    <row r="14" customFormat="false" ht="15" hidden="false" customHeight="false" outlineLevel="0" collapsed="false">
      <c r="A14" s="22" t="s">
        <v>160</v>
      </c>
      <c r="B14" s="30" t="n">
        <f aca="false">B13^(1/B5)-1</f>
        <v>0.134040281927017</v>
      </c>
      <c r="C14" s="30" t="n">
        <f aca="false">C13^(1/C5)-1</f>
        <v>0.139191974518465</v>
      </c>
      <c r="D14" s="41" t="n">
        <f aca="false">D13^(1/D5)-1</f>
        <v>0.13931823076461</v>
      </c>
    </row>
    <row r="16" customFormat="false" ht="15" hidden="false" customHeight="false" outlineLevel="0" collapsed="false">
      <c r="A16" s="13" t="s">
        <v>161</v>
      </c>
      <c r="B16" s="14"/>
      <c r="C16" s="14"/>
      <c r="D16" s="14"/>
    </row>
    <row r="17" customFormat="false" ht="15" hidden="false" customHeight="false" outlineLevel="0" collapsed="false">
      <c r="A17" s="32" t="s">
        <v>162</v>
      </c>
      <c r="B17" s="42" t="n">
        <v>3</v>
      </c>
      <c r="C17" s="42" t="n">
        <v>4</v>
      </c>
      <c r="D17" s="42" t="n">
        <v>5</v>
      </c>
    </row>
    <row r="18" customFormat="false" ht="15" hidden="false" customHeight="false" outlineLevel="0" collapsed="false">
      <c r="A18" s="43" t="n">
        <v>8</v>
      </c>
      <c r="B18" s="37" t="n">
        <f aca="false">(($A18*INDEX('LBO Model'!$D$7:$H$7,B$17)-INDEX('LBO Model'!$D$37:$H$37,B$17)+INDEX('LBO Model'!$D$38:$H$38,B$17))/Transaction!$B$8)^(1/B$17)-1</f>
        <v>0.0377910837068347</v>
      </c>
      <c r="C18" s="37" t="n">
        <f aca="false">(($A18*INDEX('LBO Model'!$D$7:$H$7,C$17)-INDEX('LBO Model'!$D$37:$H$37,C$17)+INDEX('LBO Model'!$D$38:$H$38,C$17))/Transaction!$B$8)^(1/C$17)-1</f>
        <v>0.0705160812463113</v>
      </c>
      <c r="D18" s="37" t="n">
        <f aca="false">(($A18*INDEX('LBO Model'!$D$7:$H$7,D$17)-INDEX('LBO Model'!$D$37:$H$37,D$17)+INDEX('LBO Model'!$D$38:$H$38,D$17))/Transaction!$B$8)^(1/D$17)-1</f>
        <v>0.0873167014685765</v>
      </c>
    </row>
    <row r="19" customFormat="false" ht="15" hidden="false" customHeight="false" outlineLevel="0" collapsed="false">
      <c r="A19" s="43" t="n">
        <v>8.5</v>
      </c>
      <c r="B19" s="37" t="n">
        <f aca="false">(($A19*INDEX('LBO Model'!$D$7:$H$7,B$17)-INDEX('LBO Model'!$D$37:$H$37,B$17)+INDEX('LBO Model'!$D$38:$H$38,B$17))/Transaction!$B$8)^(1/B$17)-1</f>
        <v>0.0635113084013927</v>
      </c>
      <c r="C19" s="37" t="n">
        <f aca="false">(($A19*INDEX('LBO Model'!$D$7:$H$7,C$17)-INDEX('LBO Model'!$D$37:$H$37,C$17)+INDEX('LBO Model'!$D$38:$H$38,C$17))/Transaction!$B$8)^(1/C$17)-1</f>
        <v>0.0889284878764429</v>
      </c>
      <c r="D19" s="37" t="n">
        <f aca="false">(($A19*INDEX('LBO Model'!$D$7:$H$7,D$17)-INDEX('LBO Model'!$D$37:$H$37,D$17)+INDEX('LBO Model'!$D$38:$H$38,D$17))/Transaction!$B$8)^(1/D$17)-1</f>
        <v>0.101259306588641</v>
      </c>
    </row>
    <row r="20" customFormat="false" ht="15" hidden="false" customHeight="false" outlineLevel="0" collapsed="false">
      <c r="A20" s="43" t="n">
        <v>9</v>
      </c>
      <c r="B20" s="37" t="n">
        <f aca="false">(($A20*INDEX('LBO Model'!$D$7:$H$7,B$17)-INDEX('LBO Model'!$D$37:$H$37,B$17)+INDEX('LBO Model'!$D$38:$H$38,B$17))/Transaction!$B$8)^(1/B$17)-1</f>
        <v>0.0880442488945492</v>
      </c>
      <c r="C20" s="37" t="n">
        <f aca="false">(($A20*INDEX('LBO Model'!$D$7:$H$7,C$17)-INDEX('LBO Model'!$D$37:$H$37,C$17)+INDEX('LBO Model'!$D$38:$H$38,C$17))/Transaction!$B$8)^(1/C$17)-1</f>
        <v>0.106451609515822</v>
      </c>
      <c r="D20" s="37" t="n">
        <f aca="false">(($A20*INDEX('LBO Model'!$D$7:$H$7,D$17)-INDEX('LBO Model'!$D$37:$H$37,D$17)+INDEX('LBO Model'!$D$38:$H$38,D$17))/Transaction!$B$8)^(1/D$17)-1</f>
        <v>0.114529614926982</v>
      </c>
    </row>
    <row r="21" customFormat="false" ht="15" hidden="false" customHeight="false" outlineLevel="0" collapsed="false">
      <c r="A21" s="43" t="n">
        <v>9.5</v>
      </c>
      <c r="B21" s="37" t="n">
        <f aca="false">(($A21*INDEX('LBO Model'!$D$7:$H$7,B$17)-INDEX('LBO Model'!$D$37:$H$37,B$17)+INDEX('LBO Model'!$D$38:$H$38,B$17))/Transaction!$B$8)^(1/B$17)-1</f>
        <v>0.111518108968426</v>
      </c>
      <c r="C21" s="37" t="n">
        <f aca="false">(($A21*INDEX('LBO Model'!$D$7:$H$7,C$17)-INDEX('LBO Model'!$D$37:$H$37,C$17)+INDEX('LBO Model'!$D$38:$H$38,C$17))/Transaction!$B$8)^(1/C$17)-1</f>
        <v>0.123179637256384</v>
      </c>
      <c r="D21" s="37" t="n">
        <f aca="false">(($A21*INDEX('LBO Model'!$D$7:$H$7,D$17)-INDEX('LBO Model'!$D$37:$H$37,D$17)+INDEX('LBO Model'!$D$38:$H$38,D$17))/Transaction!$B$8)^(1/D$17)-1</f>
        <v>0.127196441464797</v>
      </c>
    </row>
    <row r="22" customFormat="false" ht="15" hidden="false" customHeight="false" outlineLevel="0" collapsed="false">
      <c r="A22" s="43" t="n">
        <v>10</v>
      </c>
      <c r="B22" s="37" t="n">
        <f aca="false">(($A22*INDEX('LBO Model'!$D$7:$H$7,B$17)-INDEX('LBO Model'!$D$37:$H$37,B$17)+INDEX('LBO Model'!$D$38:$H$38,B$17))/Transaction!$B$8)^(1/B$17)-1</f>
        <v>0.134040281927017</v>
      </c>
      <c r="C22" s="37" t="n">
        <f aca="false">(($A22*INDEX('LBO Model'!$D$7:$H$7,C$17)-INDEX('LBO Model'!$D$37:$H$37,C$17)+INDEX('LBO Model'!$D$38:$H$38,C$17))/Transaction!$B$8)^(1/C$17)-1</f>
        <v>0.139191974518465</v>
      </c>
      <c r="D22" s="37" t="n">
        <f aca="false">(($A22*INDEX('LBO Model'!$D$7:$H$7,D$17)-INDEX('LBO Model'!$D$37:$H$37,D$17)+INDEX('LBO Model'!$D$38:$H$38,D$17))/Transaction!$B$8)^(1/D$17)-1</f>
        <v>0.13931823076461</v>
      </c>
    </row>
    <row r="23" customFormat="false" ht="15" hidden="false" customHeight="false" outlineLevel="0" collapsed="false">
      <c r="A23" s="43" t="n">
        <v>10.5</v>
      </c>
      <c r="B23" s="37" t="n">
        <f aca="false">(($A23*INDEX('LBO Model'!$D$7:$H$7,B$17)-INDEX('LBO Model'!$D$37:$H$37,B$17)+INDEX('LBO Model'!$D$38:$H$38,B$17))/Transaction!$B$8)^(1/B$17)-1</f>
        <v>0.155701730471117</v>
      </c>
      <c r="C23" s="37" t="n">
        <f aca="false">(($A23*INDEX('LBO Model'!$D$7:$H$7,C$17)-INDEX('LBO Model'!$D$37:$H$37,C$17)+INDEX('LBO Model'!$D$38:$H$38,C$17))/Transaction!$B$8)^(1/C$17)-1</f>
        <v>0.154556232818352</v>
      </c>
      <c r="D23" s="37" t="n">
        <f aca="false">(($A23*INDEX('LBO Model'!$D$7:$H$7,D$17)-INDEX('LBO Model'!$D$37:$H$37,D$17)+INDEX('LBO Model'!$D$38:$H$38,D$17))/Transaction!$B$8)^(1/D$17)-1</f>
        <v>0.150945070143351</v>
      </c>
    </row>
    <row r="24" customFormat="false" ht="15" hidden="false" customHeight="false" outlineLevel="0" collapsed="false">
      <c r="A24" s="43" t="n">
        <v>11</v>
      </c>
      <c r="B24" s="37" t="n">
        <f aca="false">(($A24*INDEX('LBO Model'!$D$7:$H$7,B$17)-INDEX('LBO Model'!$D$37:$H$37,B$17)+INDEX('LBO Model'!$D$38:$H$38,B$17))/Transaction!$B$8)^(1/B$17)-1</f>
        <v>0.176580256685223</v>
      </c>
      <c r="C24" s="37" t="n">
        <f aca="false">(($A24*INDEX('LBO Model'!$D$7:$H$7,C$17)-INDEX('LBO Model'!$D$37:$H$37,C$17)+INDEX('LBO Model'!$D$38:$H$38,C$17))/Transaction!$B$8)^(1/C$17)-1</f>
        <v>0.169330497999191</v>
      </c>
      <c r="D24" s="37" t="n">
        <f aca="false">(($A24*INDEX('LBO Model'!$D$7:$H$7,D$17)-INDEX('LBO Model'!$D$37:$H$37,D$17)+INDEX('LBO Model'!$D$38:$H$38,D$17))/Transaction!$B$8)^(1/D$17)-1</f>
        <v>0.16212023307299</v>
      </c>
    </row>
    <row r="25" customFormat="false" ht="15" hidden="false" customHeight="false" outlineLevel="0" collapsed="false">
      <c r="A25" s="43" t="n">
        <v>11.5</v>
      </c>
      <c r="B25" s="37" t="n">
        <f aca="false">(($A25*INDEX('LBO Model'!$D$7:$H$7,B$17)-INDEX('LBO Model'!$D$37:$H$37,B$17)+INDEX('LBO Model'!$D$38:$H$38,B$17))/Transaction!$B$8)^(1/B$17)-1</f>
        <v>0.196742986162479</v>
      </c>
      <c r="C25" s="37" t="n">
        <f aca="false">(($A25*INDEX('LBO Model'!$D$7:$H$7,C$17)-INDEX('LBO Model'!$D$37:$H$37,C$17)+INDEX('LBO Model'!$D$38:$H$38,C$17))/Transaction!$B$8)^(1/C$17)-1</f>
        <v>0.183565071548014</v>
      </c>
      <c r="D25" s="37" t="n">
        <f aca="false">(($A25*INDEX('LBO Model'!$D$7:$H$7,D$17)-INDEX('LBO Model'!$D$37:$H$37,D$17)+INDEX('LBO Model'!$D$38:$H$38,D$17))/Transaction!$B$8)^(1/D$17)-1</f>
        <v>0.172881379153603</v>
      </c>
    </row>
    <row r="26" customFormat="false" ht="15" hidden="false" customHeight="false" outlineLevel="0" collapsed="false">
      <c r="A26" s="43" t="n">
        <v>12</v>
      </c>
      <c r="B26" s="37" t="n">
        <f aca="false">(($A26*INDEX('LBO Model'!$D$7:$H$7,B$17)-INDEX('LBO Model'!$D$37:$H$37,B$17)+INDEX('LBO Model'!$D$38:$H$38,B$17))/Transaction!$B$8)^(1/B$17)-1</f>
        <v>0.216248284427044</v>
      </c>
      <c r="C26" s="37" t="n">
        <f aca="false">(($A26*INDEX('LBO Model'!$D$7:$H$7,C$17)-INDEX('LBO Model'!$D$37:$H$37,C$17)+INDEX('LBO Model'!$D$38:$H$38,C$17))/Transaction!$B$8)^(1/C$17)-1</f>
        <v>0.197303827366221</v>
      </c>
      <c r="D26" s="37" t="n">
        <f aca="false">(($A26*INDEX('LBO Model'!$D$7:$H$7,D$17)-INDEX('LBO Model'!$D$37:$H$37,D$17)+INDEX('LBO Model'!$D$38:$H$38,D$17))/Transaction!$B$8)^(1/D$17)-1</f>
        <v>0.183261498922847</v>
      </c>
    </row>
    <row r="28" customFormat="false" ht="15" hidden="false" customHeight="false" outlineLevel="0" collapsed="false">
      <c r="A28" s="13" t="s">
        <v>163</v>
      </c>
      <c r="B28" s="14"/>
      <c r="C28" s="14"/>
      <c r="D28" s="14"/>
      <c r="E28" s="14"/>
      <c r="F28" s="14"/>
    </row>
    <row r="29" customFormat="false" ht="15" hidden="false" customHeight="false" outlineLevel="0" collapsed="false">
      <c r="A29" s="32" t="s">
        <v>164</v>
      </c>
      <c r="B29" s="44" t="n">
        <v>9</v>
      </c>
      <c r="C29" s="44" t="n">
        <v>9.5</v>
      </c>
      <c r="D29" s="44" t="n">
        <v>10</v>
      </c>
      <c r="E29" s="44" t="n">
        <v>10.5</v>
      </c>
      <c r="F29" s="44" t="n">
        <v>11</v>
      </c>
    </row>
    <row r="30" customFormat="false" ht="15" hidden="false" customHeight="false" outlineLevel="0" collapsed="false">
      <c r="A30" s="45" t="n">
        <v>0.1</v>
      </c>
      <c r="B30" s="37" t="n">
        <f aca="false">((B$29*'LBO Model'!$H$7-'LBO Model'!$H$37+'LBO Model'!$H$38)/((Assumptions!$B$5*(1+$A30)*Assumptions!$B$8)+Assumptions!$B$10+Transaction!$B$14+Assumptions!$B$34*((Assumptions!$B$5*(1+$A30)*Assumptions!$B$8)+Assumptions!$B$10-Assumptions!$B$11)-Transaction!$B$5-Transaction!$B$6-Transaction!$B$7))^(1/5)-1</f>
        <v>0.175779503629353</v>
      </c>
      <c r="C30" s="37" t="n">
        <f aca="false">((C$29*'LBO Model'!$H$7-'LBO Model'!$H$37+'LBO Model'!$H$38)/((Assumptions!$B$5*(1+$A30)*Assumptions!$B$8)+Assumptions!$B$10+Transaction!$B$14+Assumptions!$B$34*((Assumptions!$B$5*(1+$A30)*Assumptions!$B$8)+Assumptions!$B$10-Assumptions!$B$11)-Transaction!$B$5-Transaction!$B$6-Transaction!$B$7))^(1/5)-1</f>
        <v>0.189142446004076</v>
      </c>
      <c r="D30" s="37" t="n">
        <f aca="false">((D$29*'LBO Model'!$H$7-'LBO Model'!$H$37+'LBO Model'!$H$38)/((Assumptions!$B$5*(1+$A30)*Assumptions!$B$8)+Assumptions!$B$10+Transaction!$B$14+Assumptions!$B$34*((Assumptions!$B$5*(1+$A30)*Assumptions!$B$8)+Assumptions!$B$10-Assumptions!$B$11)-Transaction!$B$5-Transaction!$B$6-Transaction!$B$7))^(1/5)-1</f>
        <v>0.201930398172549</v>
      </c>
      <c r="E30" s="37" t="n">
        <f aca="false">((E$29*'LBO Model'!$H$7-'LBO Model'!$H$37+'LBO Model'!$H$38)/((Assumptions!$B$5*(1+$A30)*Assumptions!$B$8)+Assumptions!$B$10+Transaction!$B$14+Assumptions!$B$34*((Assumptions!$B$5*(1+$A30)*Assumptions!$B$8)+Assumptions!$B$10-Assumptions!$B$11)-Transaction!$B$5-Transaction!$B$6-Transaction!$B$7))^(1/5)-1</f>
        <v>0.214196200041269</v>
      </c>
      <c r="F30" s="37" t="n">
        <f aca="false">((F$29*'LBO Model'!$H$7-'LBO Model'!$H$37+'LBO Model'!$H$38)/((Assumptions!$B$5*(1+$A30)*Assumptions!$B$8)+Assumptions!$B$10+Transaction!$B$14+Assumptions!$B$34*((Assumptions!$B$5*(1+$A30)*Assumptions!$B$8)+Assumptions!$B$10-Assumptions!$B$11)-Transaction!$B$5-Transaction!$B$6-Transaction!$B$7))^(1/5)-1</f>
        <v>0.225985503211332</v>
      </c>
    </row>
    <row r="31" customFormat="false" ht="15" hidden="false" customHeight="false" outlineLevel="0" collapsed="false">
      <c r="A31" s="45" t="n">
        <v>0.2</v>
      </c>
      <c r="B31" s="37" t="n">
        <f aca="false">((B$29*'LBO Model'!$H$7-'LBO Model'!$H$37+'LBO Model'!$H$38)/((Assumptions!$B$5*(1+$A31)*Assumptions!$B$8)+Assumptions!$B$10+Transaction!$B$14+Assumptions!$B$34*((Assumptions!$B$5*(1+$A31)*Assumptions!$B$8)+Assumptions!$B$10-Assumptions!$B$11)-Transaction!$B$5-Transaction!$B$6-Transaction!$B$7))^(1/5)-1</f>
        <v>0.142705122961168</v>
      </c>
      <c r="C31" s="37" t="n">
        <f aca="false">((C$29*'LBO Model'!$H$7-'LBO Model'!$H$37+'LBO Model'!$H$38)/((Assumptions!$B$5*(1+$A31)*Assumptions!$B$8)+Assumptions!$B$10+Transaction!$B$14+Assumptions!$B$34*((Assumptions!$B$5*(1+$A31)*Assumptions!$B$8)+Assumptions!$B$10-Assumptions!$B$11)-Transaction!$B$5-Transaction!$B$6-Transaction!$B$7))^(1/5)-1</f>
        <v>0.155692169139722</v>
      </c>
      <c r="D31" s="37" t="n">
        <f aca="false">((D$29*'LBO Model'!$H$7-'LBO Model'!$H$37+'LBO Model'!$H$38)/((Assumptions!$B$5*(1+$A31)*Assumptions!$B$8)+Assumptions!$B$10+Transaction!$B$14+Assumptions!$B$34*((Assumptions!$B$5*(1+$A31)*Assumptions!$B$8)+Assumptions!$B$10-Assumptions!$B$11)-Transaction!$B$5-Transaction!$B$6-Transaction!$B$7))^(1/5)-1</f>
        <v>0.168120399441398</v>
      </c>
      <c r="E31" s="37" t="n">
        <f aca="false">((E$29*'LBO Model'!$H$7-'LBO Model'!$H$37+'LBO Model'!$H$38)/((Assumptions!$B$5*(1+$A31)*Assumptions!$B$8)+Assumptions!$B$10+Transaction!$B$14+Assumptions!$B$34*((Assumptions!$B$5*(1+$A31)*Assumptions!$B$8)+Assumptions!$B$10-Assumptions!$B$11)-Transaction!$B$5-Transaction!$B$6-Transaction!$B$7))^(1/5)-1</f>
        <v>0.180041167399462</v>
      </c>
      <c r="F31" s="37" t="n">
        <f aca="false">((F$29*'LBO Model'!$H$7-'LBO Model'!$H$37+'LBO Model'!$H$38)/((Assumptions!$B$5*(1+$A31)*Assumptions!$B$8)+Assumptions!$B$10+Transaction!$B$14+Assumptions!$B$34*((Assumptions!$B$5*(1+$A31)*Assumptions!$B$8)+Assumptions!$B$10-Assumptions!$B$11)-Transaction!$B$5-Transaction!$B$6-Transaction!$B$7))^(1/5)-1</f>
        <v>0.191498840446992</v>
      </c>
    </row>
    <row r="32" customFormat="false" ht="15" hidden="false" customHeight="false" outlineLevel="0" collapsed="false">
      <c r="A32" s="45" t="n">
        <v>0.3</v>
      </c>
      <c r="B32" s="37" t="n">
        <f aca="false">((B$29*'LBO Model'!$H$7-'LBO Model'!$H$37+'LBO Model'!$H$38)/((Assumptions!$B$5*(1+$A32)*Assumptions!$B$8)+Assumptions!$B$10+Transaction!$B$14+Assumptions!$B$34*((Assumptions!$B$5*(1+$A32)*Assumptions!$B$8)+Assumptions!$B$10-Assumptions!$B$11)-Transaction!$B$5-Transaction!$B$6-Transaction!$B$7))^(1/5)-1</f>
        <v>0.114529614926982</v>
      </c>
      <c r="C32" s="37" t="n">
        <f aca="false">((C$29*'LBO Model'!$H$7-'LBO Model'!$H$37+'LBO Model'!$H$38)/((Assumptions!$B$5*(1+$A32)*Assumptions!$B$8)+Assumptions!$B$10+Transaction!$B$14+Assumptions!$B$34*((Assumptions!$B$5*(1+$A32)*Assumptions!$B$8)+Assumptions!$B$10-Assumptions!$B$11)-Transaction!$B$5-Transaction!$B$6-Transaction!$B$7))^(1/5)-1</f>
        <v>0.127196441464797</v>
      </c>
      <c r="D32" s="37" t="n">
        <f aca="false">((D$29*'LBO Model'!$H$7-'LBO Model'!$H$37+'LBO Model'!$H$38)/((Assumptions!$B$5*(1+$A32)*Assumptions!$B$8)+Assumptions!$B$10+Transaction!$B$14+Assumptions!$B$34*((Assumptions!$B$5*(1+$A32)*Assumptions!$B$8)+Assumptions!$B$10-Assumptions!$B$11)-Transaction!$B$5-Transaction!$B$6-Transaction!$B$7))^(1/5)-1</f>
        <v>0.13931823076461</v>
      </c>
      <c r="E32" s="37" t="n">
        <f aca="false">((E$29*'LBO Model'!$H$7-'LBO Model'!$H$37+'LBO Model'!$H$38)/((Assumptions!$B$5*(1+$A32)*Assumptions!$B$8)+Assumptions!$B$10+Transaction!$B$14+Assumptions!$B$34*((Assumptions!$B$5*(1+$A32)*Assumptions!$B$8)+Assumptions!$B$10-Assumptions!$B$11)-Transaction!$B$5-Transaction!$B$6-Transaction!$B$7))^(1/5)-1</f>
        <v>0.150945070143351</v>
      </c>
      <c r="F32" s="37" t="n">
        <f aca="false">((F$29*'LBO Model'!$H$7-'LBO Model'!$H$37+'LBO Model'!$H$38)/((Assumptions!$B$5*(1+$A32)*Assumptions!$B$8)+Assumptions!$B$10+Transaction!$B$14+Assumptions!$B$34*((Assumptions!$B$5*(1+$A32)*Assumptions!$B$8)+Assumptions!$B$10-Assumptions!$B$11)-Transaction!$B$5-Transaction!$B$6-Transaction!$B$7))^(1/5)-1</f>
        <v>0.16212023307299</v>
      </c>
    </row>
    <row r="33" customFormat="false" ht="15" hidden="false" customHeight="false" outlineLevel="0" collapsed="false">
      <c r="A33" s="45" t="n">
        <v>0.4</v>
      </c>
      <c r="B33" s="37" t="n">
        <f aca="false">((B$29*'LBO Model'!$H$7-'LBO Model'!$H$37+'LBO Model'!$H$38)/((Assumptions!$B$5*(1+$A33)*Assumptions!$B$8)+Assumptions!$B$10+Transaction!$B$14+Assumptions!$B$34*((Assumptions!$B$5*(1+$A33)*Assumptions!$B$8)+Assumptions!$B$10-Assumptions!$B$11)-Transaction!$B$5-Transaction!$B$6-Transaction!$B$7))^(1/5)-1</f>
        <v>0.0900679119805317</v>
      </c>
      <c r="C33" s="37" t="n">
        <f aca="false">((C$29*'LBO Model'!$H$7-'LBO Model'!$H$37+'LBO Model'!$H$38)/((Assumptions!$B$5*(1+$A33)*Assumptions!$B$8)+Assumptions!$B$10+Transaction!$B$14+Assumptions!$B$34*((Assumptions!$B$5*(1+$A33)*Assumptions!$B$8)+Assumptions!$B$10-Assumptions!$B$11)-Transaction!$B$5-Transaction!$B$6-Transaction!$B$7))^(1/5)-1</f>
        <v>0.102456726930416</v>
      </c>
      <c r="D33" s="37" t="n">
        <f aca="false">((D$29*'LBO Model'!$H$7-'LBO Model'!$H$37+'LBO Model'!$H$38)/((Assumptions!$B$5*(1+$A33)*Assumptions!$B$8)+Assumptions!$B$10+Transaction!$B$14+Assumptions!$B$34*((Assumptions!$B$5*(1+$A33)*Assumptions!$B$8)+Assumptions!$B$10-Assumptions!$B$11)-Transaction!$B$5-Transaction!$B$6-Transaction!$B$7))^(1/5)-1</f>
        <v>0.114312467122999</v>
      </c>
      <c r="E33" s="37" t="n">
        <f aca="false">((E$29*'LBO Model'!$H$7-'LBO Model'!$H$37+'LBO Model'!$H$38)/((Assumptions!$B$5*(1+$A33)*Assumptions!$B$8)+Assumptions!$B$10+Transaction!$B$14+Assumptions!$B$34*((Assumptions!$B$5*(1+$A33)*Assumptions!$B$8)+Assumptions!$B$10-Assumptions!$B$11)-Transaction!$B$5-Transaction!$B$6-Transaction!$B$7))^(1/5)-1</f>
        <v>0.12568412055847</v>
      </c>
      <c r="F33" s="37" t="n">
        <f aca="false">((F$29*'LBO Model'!$H$7-'LBO Model'!$H$37+'LBO Model'!$H$38)/((Assumptions!$B$5*(1+$A33)*Assumptions!$B$8)+Assumptions!$B$10+Transaction!$B$14+Assumptions!$B$34*((Assumptions!$B$5*(1+$A33)*Assumptions!$B$8)+Assumptions!$B$10-Assumptions!$B$11)-Transaction!$B$5-Transaction!$B$6-Transaction!$B$7))^(1/5)-1</f>
        <v>0.136614010942361</v>
      </c>
    </row>
    <row r="34" customFormat="false" ht="15" hidden="false" customHeight="false" outlineLevel="0" collapsed="false">
      <c r="A34" s="45" t="n">
        <v>0.5</v>
      </c>
      <c r="B34" s="37" t="n">
        <f aca="false">((B$29*'LBO Model'!$H$7-'LBO Model'!$H$37+'LBO Model'!$H$38)/((Assumptions!$B$5*(1+$A34)*Assumptions!$B$8)+Assumptions!$B$10+Transaction!$B$14+Assumptions!$B$34*((Assumptions!$B$5*(1+$A34)*Assumptions!$B$8)+Assumptions!$B$10-Assumptions!$B$11)-Transaction!$B$5-Transaction!$B$6-Transaction!$B$7))^(1/5)-1</f>
        <v>0.0685108637839733</v>
      </c>
      <c r="C34" s="37" t="n">
        <f aca="false">((C$29*'LBO Model'!$H$7-'LBO Model'!$H$37+'LBO Model'!$H$38)/((Assumptions!$B$5*(1+$A34)*Assumptions!$B$8)+Assumptions!$B$10+Transaction!$B$14+Assumptions!$B$34*((Assumptions!$B$5*(1+$A34)*Assumptions!$B$8)+Assumptions!$B$10-Assumptions!$B$11)-Transaction!$B$5-Transaction!$B$6-Transaction!$B$7))^(1/5)-1</f>
        <v>0.0806546790617841</v>
      </c>
      <c r="D34" s="37" t="n">
        <f aca="false">((D$29*'LBO Model'!$H$7-'LBO Model'!$H$37+'LBO Model'!$H$38)/((Assumptions!$B$5*(1+$A34)*Assumptions!$B$8)+Assumptions!$B$10+Transaction!$B$14+Assumptions!$B$34*((Assumptions!$B$5*(1+$A34)*Assumptions!$B$8)+Assumptions!$B$10-Assumptions!$B$11)-Transaction!$B$5-Transaction!$B$6-Transaction!$B$7))^(1/5)-1</f>
        <v>0.0922759616027584</v>
      </c>
      <c r="E34" s="37" t="n">
        <f aca="false">((E$29*'LBO Model'!$H$7-'LBO Model'!$H$37+'LBO Model'!$H$38)/((Assumptions!$B$5*(1+$A34)*Assumptions!$B$8)+Assumptions!$B$10+Transaction!$B$14+Assumptions!$B$34*((Assumptions!$B$5*(1+$A34)*Assumptions!$B$8)+Assumptions!$B$10-Assumptions!$B$11)-Transaction!$B$5-Transaction!$B$6-Transaction!$B$7))^(1/5)-1</f>
        <v>0.103422730626451</v>
      </c>
      <c r="F34" s="37" t="n">
        <f aca="false">((F$29*'LBO Model'!$H$7-'LBO Model'!$H$37+'LBO Model'!$H$38)/((Assumptions!$B$5*(1+$A34)*Assumptions!$B$8)+Assumptions!$B$10+Transaction!$B$14+Assumptions!$B$34*((Assumptions!$B$5*(1+$A34)*Assumptions!$B$8)+Assumptions!$B$10-Assumptions!$B$11)-Transaction!$B$5-Transaction!$B$6-Transaction!$B$7))^(1/5)-1</f>
        <v>0.114136472850032</v>
      </c>
    </row>
    <row r="36" customFormat="false" ht="15" hidden="false" customHeight="false" outlineLevel="0" collapsed="false">
      <c r="A36" s="13" t="s">
        <v>165</v>
      </c>
      <c r="B36" s="14"/>
      <c r="C36" s="14"/>
      <c r="D36" s="14"/>
    </row>
    <row r="37" customFormat="false" ht="15" hidden="false" customHeight="false" outlineLevel="0" collapsed="false">
      <c r="A37" s="15" t="s">
        <v>166</v>
      </c>
      <c r="B37" s="37" t="n">
        <f aca="false">Assumptions!$B$62</f>
        <v>0.2</v>
      </c>
    </row>
    <row r="38" customFormat="false" ht="15" hidden="false" customHeight="false" outlineLevel="0" collapsed="false">
      <c r="A38" s="15" t="s">
        <v>167</v>
      </c>
      <c r="B38" s="20" t="n">
        <f aca="false">D11</f>
        <v>8632.7111388551</v>
      </c>
    </row>
    <row r="39" customFormat="false" ht="15" hidden="false" customHeight="false" outlineLevel="0" collapsed="false">
      <c r="A39" s="15" t="s">
        <v>168</v>
      </c>
      <c r="B39" s="20" t="n">
        <f aca="false">B38/(1+B37)^5</f>
        <v>3469.29299240255</v>
      </c>
    </row>
    <row r="40" customFormat="false" ht="15" hidden="false" customHeight="false" outlineLevel="0" collapsed="false">
      <c r="A40" s="15" t="s">
        <v>169</v>
      </c>
      <c r="B40" s="24" t="n">
        <f aca="false">(B39-Assumptions!$B$10-Transaction!B14-Assumptions!$B$34*(Assumptions!$B$10-Assumptions!$B$11)+Transaction!B5+Transaction!B6+Transaction!B7)/(1+Assumptions!$B$34)</f>
        <v>5746.64508835719</v>
      </c>
    </row>
    <row r="41" customFormat="false" ht="15" hidden="false" customHeight="false" outlineLevel="0" collapsed="false">
      <c r="A41" s="22" t="s">
        <v>170</v>
      </c>
      <c r="B41" s="46" t="n">
        <f aca="false">B40/Assumptions!$B$8</f>
        <v>1163.28847942453</v>
      </c>
    </row>
    <row r="42" customFormat="false" ht="15" hidden="false" customHeight="false" outlineLevel="0" collapsed="false">
      <c r="A42" s="15" t="s">
        <v>171</v>
      </c>
      <c r="B42" s="37" t="n">
        <f aca="false">B41/Assumptions!$B$5-1</f>
        <v>0.105262213229959</v>
      </c>
    </row>
    <row r="43" customFormat="false" ht="15" hidden="false" customHeight="false" outlineLevel="0" collapsed="false">
      <c r="A43" s="15" t="s">
        <v>172</v>
      </c>
      <c r="B43" s="34" t="n">
        <f aca="false">(B40+Assumptions!$B$10-Assumptions!$B$11)/Assumptions!$B$14</f>
        <v>8.69213806693345</v>
      </c>
    </row>
    <row r="45" customFormat="false" ht="57.75" hidden="false" customHeight="true" outlineLevel="0" collapsed="false">
      <c r="A45" s="31" t="s">
        <v>173</v>
      </c>
      <c r="B45" s="31"/>
      <c r="C45" s="31"/>
      <c r="D45" s="31"/>
      <c r="E45" s="31"/>
      <c r="F45" s="31"/>
      <c r="G45" s="31"/>
    </row>
  </sheetData>
  <mergeCells count="1">
    <mergeCell ref="A45:G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2026-09-28T18:05:56Z</dcterms:created>
  <dc:creator>openpyxl</dc:creator>
  <dc:description/>
  <dc:language>en-US</dc:language>
  <cp:lastModifiedBy/>
  <dcterms:modified xsi:type="dcterms:W3CDTF">2026-09-28T18:05:56Z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